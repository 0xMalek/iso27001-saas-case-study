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052cd9f62247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26a97ea102140f3"/>
    <x:sheet xmlns:r="http://schemas.openxmlformats.org/officeDocument/2006/relationships" name="Risks" sheetId="2" r:id="R6d8fced743e047e7"/>
    <x:sheet xmlns:r="http://schemas.openxmlformats.org/officeDocument/2006/relationships" name="Risk detail" sheetId="3" r:id="R6015f0a803014006"/>
    <x:sheet xmlns:r="http://schemas.openxmlformats.org/officeDocument/2006/relationships" name="Treatments" sheetId="4" r:id="Ra5cb7644462c4614"/>
    <x:sheet xmlns:r="http://schemas.openxmlformats.org/officeDocument/2006/relationships" name="Controls" sheetId="5" r:id="R97c7ee8519a64e44"/>
    <x:sheet xmlns:r="http://schemas.openxmlformats.org/officeDocument/2006/relationships" name="Assets" sheetId="6" r:id="R39cac7959caf46b9"/>
    <x:sheet xmlns:r="http://schemas.openxmlformats.org/officeDocument/2006/relationships" name="Access review" sheetId="7" r:id="R3485829e033b4aee"/>
    <x:sheet xmlns:r="http://schemas.openxmlformats.org/officeDocument/2006/relationships" name="Actions" sheetId="8" r:id="Rb15937daf8ff48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7">
    <x:font>
      <x:sz val="11"/>
      <x:name val="Carlito"/>
    </x:font>
    <x:font>
      <x:sz val="10"/>
      <x:color rgb="FF243348"/>
      <x:name val="Arial"/>
    </x:font>
    <x:font>
      <x:b/>
      <x:sz val="15"/>
      <x:color rgb="FF20344D"/>
      <x:name val="Arial"/>
    </x:font>
    <x:font>
      <x:i/>
      <x:sz val="10"/>
      <x:color rgb="FF536477"/>
      <x:name val="Arial"/>
    </x:font>
    <x:font>
      <x:b/>
      <x:sz val="10"/>
      <x:color rgb="FFFFFFFF"/>
      <x:name val="Arial"/>
    </x:font>
    <x:font>
      <x:i/>
      <x:sz val="10"/>
      <x:color rgb="FF243348"/>
      <x:name val="Arial"/>
    </x:font>
    <x:font>
      <x:b/>
      <x:sz val="10"/>
      <x:color rgb="FF24334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44D"/>
      </x:patternFill>
    </x:fill>
    <x:fill>
      <x:patternFill patternType="solid">
        <x:fgColor rgb="FFFFF3CC"/>
      </x:patternFill>
    </x:fill>
    <x:fill>
      <x:patternFill patternType="solid">
        <x:fgColor rgb="FFEAF1FA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right"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horizontal="center" vertical="top" wrapText="1"/>
    </x:xf>
    <x:xf numFmtId="200" fontId="1" fillId="3" borderId="0" xfId="0" applyNumberFormat="1" applyFont="1" applyFill="1" applyBorder="1" applyAlignment="1">
      <x:alignment horizontal="right" vertical="top" wrapText="1"/>
    </x:xf>
    <x:xf numFmtId="200" fontId="1" fillId="4" borderId="0" xfId="0" applyNumberFormat="1" applyFont="1" applyFill="1" applyBorder="1" applyAlignment="1">
      <x:alignment horizontal="right"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0">
    <x:dxf>
      <x:font>
        <x:b/>
        <x:color rgb="FF982E36"/>
      </x:font>
      <x:fill>
        <x:patternFill patternType="solid">
          <x:bgColor rgb="FFFCE4E5"/>
        </x:patternFill>
      </x:fill>
    </x:dxf>
    <x:dxf>
      <x:font>
        <x:b/>
        <x:color rgb="FF915012"/>
      </x:font>
      <x:fill>
        <x:patternFill patternType="solid">
          <x:bgColor rgb="FFFCECD7"/>
        </x:patternFill>
      </x:fill>
    </x:dxf>
    <x:dxf>
      <x:font>
        <x:b/>
        <x:color rgb="FF72581B"/>
      </x:font>
      <x:fill>
        <x:patternFill patternType="solid">
          <x:bgColor rgb="FFFFF5D4"/>
        </x:patternFill>
      </x:fill>
    </x:dxf>
    <x:dxf>
      <x:font>
        <x:b/>
        <x:color rgb="FF982E36"/>
      </x:font>
      <x:fill>
        <x:patternFill patternType="solid">
          <x:bgColor rgb="FFFCE4E5"/>
        </x:patternFill>
      </x:fill>
    </x:dxf>
    <x:dxf>
      <x:font>
        <x:b/>
        <x:color rgb="FF982E36"/>
      </x:font>
      <x:fill>
        <x:patternFill patternType="solid">
          <x:bgColor rgb="FFFCE4E5"/>
        </x:patternFill>
      </x:fill>
    </x:dxf>
    <x:dxf>
      <x:font>
        <x:b/>
        <x:color rgb="FF982E36"/>
      </x:font>
      <x:fill>
        <x:patternFill patternType="solid">
          <x:bgColor rgb="FFFCE4E5"/>
        </x:patternFill>
      </x:fill>
    </x:dxf>
    <x:dxf>
      <x:font>
        <x:b/>
        <x:color rgb="FF915012"/>
      </x:font>
      <x:fill>
        <x:patternFill patternType="solid">
          <x:bgColor rgb="FFFCECD7"/>
        </x:patternFill>
      </x:fill>
    </x:dxf>
    <x:dxf>
      <x:font>
        <x:b/>
        <x:color rgb="FF72581B"/>
      </x:font>
      <x:fill>
        <x:patternFill patternType="solid">
          <x:bgColor rgb="FFFFF5D4"/>
        </x:patternFill>
      </x:fill>
    </x:dxf>
    <x:dxf>
      <x:font>
        <x:b/>
        <x:color rgb="FF982E36"/>
      </x:font>
      <x:fill>
        <x:patternFill patternType="solid">
          <x:bgColor rgb="FFFCE4E5"/>
        </x:patternFill>
      </x:fill>
    </x:dxf>
    <x:dxf>
      <x:font>
        <x:b/>
        <x:color rgb="FF982E36"/>
      </x:font>
      <x:fill>
        <x:patternFill patternType="solid">
          <x:bgColor rgb="FFFCE4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85a077de1840ec" /><Relationship Type="http://schemas.openxmlformats.org/officeDocument/2006/relationships/theme" Target="/xl/theme/theme1.xml" Id="R6970c3708aed432e" /><Relationship Type="http://schemas.openxmlformats.org/officeDocument/2006/relationships/sharedStrings" Target="/xl/sharedStrings.xml" Id="Ra2b9d939366c4f10" /><Relationship Type="http://schemas.openxmlformats.org/officeDocument/2006/relationships/worksheet" Target="/xl/worksheets/sheet1.xml" Id="Ra26a97ea102140f3" /><Relationship Type="http://schemas.openxmlformats.org/officeDocument/2006/relationships/worksheet" Target="/xl/worksheets/sheet2.xml" Id="R6d8fced743e047e7" /><Relationship Type="http://schemas.openxmlformats.org/officeDocument/2006/relationships/worksheet" Target="/xl/worksheets/sheet3.xml" Id="R6015f0a803014006" /><Relationship Type="http://schemas.openxmlformats.org/officeDocument/2006/relationships/worksheet" Target="/xl/worksheets/sheet4.xml" Id="Ra5cb7644462c4614" /><Relationship Type="http://schemas.openxmlformats.org/officeDocument/2006/relationships/worksheet" Target="/xl/worksheets/sheet5.xml" Id="R97c7ee8519a64e44" /><Relationship Type="http://schemas.openxmlformats.org/officeDocument/2006/relationships/worksheet" Target="/xl/worksheets/sheet6.xml" Id="R39cac7959caf46b9" /><Relationship Type="http://schemas.openxmlformats.org/officeDocument/2006/relationships/worksheet" Target="/xl/worksheets/sheet7.xml" Id="R3485829e033b4aee" /><Relationship Type="http://schemas.openxmlformats.org/officeDocument/2006/relationships/worksheet" Target="/xl/worksheets/sheet8.xml" Id="Rb15937daf8ff485c" /></Relationships>
</file>

<file path=xl/tables/table1.xml><?xml version="1.0" encoding="utf-8"?>
<x:table xmlns:x="http://schemas.openxmlformats.org/spreadsheetml/2006/main" id="1" name="RisksTable" displayName="RisksTable" ref="A5:L17" headerRowCount="1" totalsRowCount="0" totalsRowShown="0">
  <x:autoFilter ref="A5:L17"/>
  <x:tableColumns count="12">
    <x:tableColumn id="1" name="Risk"/>
    <x:tableColumn id="2" name="Risk scenario"/>
    <x:tableColumn id="3" name="Risk owner"/>
    <x:tableColumn id="4" name="Current L (1-5)"/>
    <x:tableColumn id="5" name="Current I (1-5)"/>
    <x:tableColumn id="6" name="Current score"/>
    <x:tableColumn id="7" name="Current band"/>
    <x:tableColumn id="8" name="Target L (1-5)"/>
    <x:tableColumn id="9" name="Target I (1-5)"/>
    <x:tableColumn id="10" name="Target score"/>
    <x:tableColumn id="11" name="Target band"/>
    <x:tableColumn id="12" name="Treatme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iskdetailTable" displayName="RiskdetailTable" ref="A5:G17" headerRowCount="1" totalsRowCount="0" totalsRowShown="0">
  <x:autoFilter ref="A5:G17"/>
  <x:tableColumns count="7">
    <x:tableColumn id="1" name="Risk"/>
    <x:tableColumn id="2" name="Assets"/>
    <x:tableColumn id="3" name="Event and consequence"/>
    <x:tableColumn id="4" name="Existing safeguards (assumed)"/>
    <x:tableColumn id="5" name="Current likelihood reasoning"/>
    <x:tableColumn id="6" name="Current impact reasoning"/>
    <x:tableColumn id="7" name="Conditional target reasoni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eatmentsTable" displayName="TreatmentsTable" ref="A5:K17" headerRowCount="1" totalsRowCount="0" totalsRowShown="0">
  <x:autoFilter ref="A5:K17"/>
  <x:tableColumns count="11">
    <x:tableColumn id="1" name="Treatment"/>
    <x:tableColumn id="2" name="Risk"/>
    <x:tableColumn id="3" name="Decision"/>
    <x:tableColumn id="4" name="Owner"/>
    <x:tableColumn id="5" name="Proposed action"/>
    <x:tableColumn id="6" name="Target date"/>
    <x:tableColumn id="7" name="Status"/>
    <x:tableColumn id="8" name="Controls"/>
    <x:tableColumn id="9" name="Required evidence"/>
    <x:tableColumn id="10" name="Acceptance authority"/>
    <x:tableColumn id="11" name="Review d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trolsTable" displayName="ControlsTable" ref="A5:I26" headerRowCount="1" totalsRowCount="0" totalsRowShown="0">
  <x:autoFilter ref="A5:I26"/>
  <x:tableColumns count="9">
    <x:tableColumn id="1" name="Reference"/>
    <x:tableColumn id="2" name="Original theme"/>
    <x:tableColumn id="3" name="Applicable"/>
    <x:tableColumn id="4" name="Case-specific justification"/>
    <x:tableColumn id="5" name="Related risks"/>
    <x:tableColumn id="6" name="Owner"/>
    <x:tableColumn id="7" name="Status"/>
    <x:tableColumn id="8" name="Evidence basis and limitation"/>
    <x:tableColumn id="9" name="Evidence still need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ssetsTable" displayName="AssetsTable" ref="A5:G15" headerRowCount="1" totalsRowCount="0" totalsRowShown="0">
  <x:autoFilter ref="A5:G15"/>
  <x:tableColumns count="7">
    <x:tableColumn id="1" name="Asset ID"/>
    <x:tableColumn id="2" name="Asset"/>
    <x:tableColumn id="3" name="Owner"/>
    <x:tableColumn id="4" name="Classification"/>
    <x:tableColumn id="5" name="Location"/>
    <x:tableColumn id="6" name="Security needs"/>
    <x:tableColumn id="7" name="Business significa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ccessreviewTable" displayName="AccessreviewTable" ref="A5:J32" headerRowCount="1" totalsRowCount="0" totalsRowShown="0">
  <x:autoFilter ref="A5:J32"/>
  <x:tableColumns count="10">
    <x:tableColumn id="1" name="Access ID"/>
    <x:tableColumn id="2" name="Person"/>
    <x:tableColumn id="3" name="System"/>
    <x:tableColumn id="4" name="Finding"/>
    <x:tableColumn id="5" name="Decision"/>
    <x:tableColumn id="6" name="Decision rationale"/>
    <x:tableColumn id="7" name="Action"/>
    <x:tableColumn id="8" name="Review date"/>
    <x:tableColumn id="9" name="Follow-up result"/>
    <x:tableColumn id="10" name="Follow-up da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ctionsTable" displayName="ActionsTable" ref="A5:M8" headerRowCount="1" totalsRowCount="0" totalsRowShown="0">
  <x:autoFilter ref="A5:M8"/>
  <x:tableColumns count="13">
    <x:tableColumn id="1" name="Action"/>
    <x:tableColumn id="2" name="Access ID"/>
    <x:tableColumn id="3" name="Risk"/>
    <x:tableColumn id="4" name="Finding"/>
    <x:tableColumn id="5" name="Immediate correction"/>
    <x:tableColumn id="6" name="Cause hypothesis"/>
    <x:tableColumn id="7" name="Systemic action"/>
    <x:tableColumn id="8" name="Owner"/>
    <x:tableColumn id="9" name="Due date"/>
    <x:tableColumn id="10" name="Correction date"/>
    <x:tableColumn id="11" name="Verified date"/>
    <x:tableColumn id="12" name="Correction status"/>
    <x:tableColumn id="13" name="Systemic action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054132cb2b49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0b873c12af748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6d8fbbddbc34a0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524a4cb878941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dc8b5951f434c3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4517421c7da42e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2ac31de24654755" /></Relationships>
</file>

<file path=xl/worksheets/sheet1.xml><?xml version="1.0" encoding="utf-8"?>
<x:worksheet xmlns:x="http://schemas.openxmlformats.org/spreadsheetml/2006/main">
  <x:sheetPr>
    <x:tabColor rgb="FF20344D"/>
  </x:sheetPr>
  <x:sheetViews>
    <x:sheetView showGridLines="0" workbookViewId="0"/>
  </x:sheetViews>
  <x:sheetFormatPr defaultRowHeight="15"/>
  <x:cols>
    <x:col min="1" max="1" width="44" hidden="0" customWidth="1"/>
    <x:col min="2" max="2" width="19" hidden="0" customWidth="1"/>
    <x:col min="3" max="3" width="4" hidden="0" customWidth="1"/>
    <x:col min="4" max="4" width="86" hidden="0" customWidth="1"/>
  </x:cols>
  <x:sheetData>
    <x:row r="1">
      <x:c r="A1" s="2"/>
      <x:c r="B1" s="2"/>
      <x:c r="C1" s="2"/>
      <x:c r="D1" s="2"/>
    </x:row>
    <x:row r="2">
      <x:c r="A2" s="3" t="str">
        <x:v>ISMS planning register</x:v>
      </x:c>
      <x:c r="B2" s="2"/>
      <x:c r="C2" s="2"/>
      <x:c r="D2" s="2"/>
    </x:row>
    <x:row r="3">
      <x:c r="A3" s="18" t="str">
        <x:v>CaseCo Cloud | Fictional case study | 7 Sep 2026</x:v>
      </x:c>
      <x:c r="B3" s="2"/>
      <x:c r="C3" s="2"/>
      <x:c r="D3" s="2"/>
    </x:row>
    <x:row r="4">
      <x:c r="A4" s="2"/>
      <x:c r="B4" s="2"/>
      <x:c r="C4" s="2"/>
      <x:c r="D4" s="2"/>
    </x:row>
    <x:row r="5" ht="28" customHeight="1">
      <x:c r="A5" s="6" t="str">
        <x:v>Portfolio inventory</x:v>
      </x:c>
      <x:c r="B5" s="6" t="str">
        <x:v>Count</x:v>
      </x:c>
      <x:c r="C5" s="2"/>
      <x:c r="D5" s="21" t="str">
        <x:v>Interpretation</x:v>
      </x:c>
    </x:row>
    <x:row r="6" ht="24" customHeight="1">
      <x:c r="A6" s="2" t="str">
        <x:v>Assets</x:v>
      </x:c>
      <x:c r="B6" s="25" t="n">
        <x:f>COUNTA('Assets'!A6:A15)</x:f>
        <x:v>10</x:v>
      </x:c>
      <x:c r="C6" s="2"/>
      <x:c r="D6" s="9" t="str">
        <x:v>Baseline risk considers assumed safeguards as of 1 September.</x:v>
      </x:c>
    </x:row>
    <x:row r="7" ht="24" customHeight="1">
      <x:c r="A7" s="2" t="str">
        <x:v>Assessed risks</x:v>
      </x:c>
      <x:c r="B7" s="25" t="n">
        <x:f>COUNTA('Risks'!A6:A17)</x:f>
        <x:v>12</x:v>
      </x:c>
      <x:c r="C7" s="2"/>
      <x:c r="D7" s="9"/>
    </x:row>
    <x:row r="8" ht="24" customHeight="1">
      <x:c r="A8" s="2" t="str">
        <x:v>Selected controls (partial SoA)</x:v>
      </x:c>
      <x:c r="B8" s="25" t="n">
        <x:f>COUNTA('Controls'!A6:A26)</x:f>
        <x:v>21</x:v>
      </x:c>
      <x:c r="C8" s="2"/>
      <x:c r="D8" s="9" t="str">
        <x:v>Targets require effective implementation and owner acceptance.</x:v>
      </x:c>
    </x:row>
    <x:row r="9" ht="24" customHeight="1">
      <x:c r="A9" s="2" t="str">
        <x:v>Assigned accounts reviewed</x:v>
      </x:c>
      <x:c r="B9" s="25" t="n">
        <x:f>COUNTA('Access review'!A6:A32)</x:f>
        <x:v>27</x:v>
      </x:c>
      <x:c r="C9" s="2"/>
      <x:c r="D9" s="9"/>
    </x:row>
    <x:row r="10" ht="24" customHeight="1">
      <x:c r="A10" s="2" t="str">
        <x:v>Sample corrections verified</x:v>
      </x:c>
      <x:c r="B10" s="25" t="n">
        <x:f>COUNTIFS('Actions'!L6:L8,"Verified in synthetic snapshot")</x:f>
        <x:v>3</x:v>
      </x:c>
      <x:c r="C10" s="2"/>
      <x:c r="D10" s="9" t="str">
        <x:v>Three fixture changes are verified; systemic actions remain planned.</x:v>
      </x:c>
    </x:row>
    <x:row r="11" ht="24" customHeight="1">
      <x:c r="A11" s="2"/>
      <x:c r="B11" s="23"/>
      <x:c r="C11" s="2"/>
      <x:c r="D11" s="9"/>
    </x:row>
    <x:row r="12" ht="24" customHeight="1">
      <x:c r="A12" s="2"/>
      <x:c r="B12" s="23"/>
      <x:c r="C12" s="2"/>
      <x:c r="D12" s="9"/>
    </x:row>
    <x:row r="13" ht="24" customHeight="1">
      <x:c r="A13" s="6" t="str">
        <x:v>Baseline risk band</x:v>
      </x:c>
      <x:c r="B13" s="24" t="str">
        <x:v>Count</x:v>
      </x:c>
      <x:c r="C13" s="2"/>
      <x:c r="D13" s="22" t="str">
        <x:v>Next management decisions</x:v>
      </x:c>
    </x:row>
    <x:row r="14" ht="24" customHeight="1">
      <x:c r="A14" s="2" t="str">
        <x:v>Critical</x:v>
      </x:c>
      <x:c r="B14" s="25" t="n">
        <x:f>IF(COUNT('Risks'!F6:F17)&lt;&gt;COUNTA('Risks'!A6:A17),"Check risk inputs",COUNTIFS('Risks'!G6:G17,A14))</x:f>
        <x:v>2</x:v>
      </x:c>
      <x:c r="C14" s="2"/>
      <x:c r="D14" s="9" t="str">
        <x:v>Escalate R02 and R05 immediately; approve containment and owners.</x:v>
      </x:c>
    </x:row>
    <x:row r="15" ht="24" customHeight="1">
      <x:c r="A15" s="2" t="str">
        <x:v>High</x:v>
      </x:c>
      <x:c r="B15" s="25" t="n">
        <x:f>IF(COUNT('Risks'!F6:F17)&lt;&gt;COUNTA('Risks'!A6:A17),"Check risk inputs",COUNTIFS('Risks'!G6:G17,A15))</x:f>
        <x:v>7</x:v>
      </x:c>
      <x:c r="C15" s="2"/>
      <x:c r="D15" s="9"/>
    </x:row>
    <x:row r="16" ht="24" customHeight="1">
      <x:c r="A16" s="2" t="str">
        <x:v>Moderate</x:v>
      </x:c>
      <x:c r="B16" s="25" t="n">
        <x:f>IF(COUNT('Risks'!F6:F17)&lt;&gt;COUNTA('Risks'!A6:A17),"Check risk inputs",COUNTIFS('Risks'!G6:G17,A16))</x:f>
        <x:v>2</x:v>
      </x:c>
      <x:c r="C16" s="2"/>
      <x:c r="D16" s="9" t="str">
        <x:v>Targets for R02, R07 and R10 remain High.</x:v>
      </x:c>
    </x:row>
    <x:row r="17" ht="24" customHeight="1">
      <x:c r="A17" s="2" t="str">
        <x:v>Low</x:v>
      </x:c>
      <x:c r="B17" s="25" t="n">
        <x:f>IF(COUNT('Risks'!F6:F17)&lt;&gt;COUNTA('Risks'!A6:A17),"Check risk inputs",COUNTIFS('Risks'!G6:G17,A17))</x:f>
        <x:v>1</x:v>
      </x:c>
      <x:c r="C17" s="2"/>
      <x:c r="D17" s="9"/>
    </x:row>
    <x:row r="18" ht="24" customHeight="1">
      <x:c r="A18" s="2"/>
      <x:c r="B18" s="23"/>
      <x:c r="C18" s="2"/>
      <x:c r="D18" s="9" t="str">
        <x:v>Obtain restore, authentication, supplier and release evidence.</x:v>
      </x:c>
    </x:row>
    <x:row r="19" ht="24" customHeight="1">
      <x:c r="A19" s="2"/>
      <x:c r="B19" s="23"/>
      <x:c r="C19" s="2"/>
      <x:c r="D19" s="9"/>
    </x:row>
    <x:row r="20" ht="24" customHeight="1">
      <x:c r="A20" s="2" t="str">
        <x:v>Targets still High or Critical</x:v>
      </x:c>
      <x:c r="B20" s="25" t="n">
        <x:f>IF(COUNT('Risks'!J6:J17)&lt;&gt;COUNTA('Risks'!A6:A17),"Check target inputs",COUNTIFS('Risks'!K6:K17,"High")+COUNTIFS('Risks'!K6:K17,"Critical"))</x:f>
        <x:v>3</x:v>
      </x:c>
      <x:c r="C20" s="2"/>
      <x:c r="D20" s="9"/>
    </x:row>
    <x:row r="21" ht="24" customHeight="1">
      <x:c r="A21" s="2"/>
      <x:c r="B21" s="2"/>
      <x:c r="C21" s="2"/>
      <x:c r="D21" s="22" t="str">
        <x:v>Use and update</x:v>
      </x:c>
    </x:row>
    <x:row r="22" ht="24" customHeight="1">
      <x:c r="A22" s="2"/>
      <x:c r="B22" s="2"/>
      <x:c r="C22" s="2"/>
      <x:c r="D22" s="9" t="str">
        <x:v>Risk detail records the reasoning. The CSVs retain the full source records.</x:v>
      </x:c>
    </x:row>
    <x:row r="23" ht="24" customHeight="1">
      <x:c r="A23" s="2" t="str">
        <x:v>Scoring inputs</x:v>
      </x:c>
      <x:c r="B23" s="19" t="str">
        <x:v>Pale yellow</x:v>
      </x:c>
      <x:c r="C23" s="2"/>
      <x:c r="D23" s="9"/>
    </x:row>
    <x:row r="24" ht="24" customHeight="1">
      <x:c r="A24" s="2" t="str">
        <x:v>Calculated values</x:v>
      </x:c>
      <x:c r="B24" s="20" t="str">
        <x:v>Pale blue</x:v>
      </x:c>
      <x:c r="C24" s="2"/>
      <x:c r="D24" s="9" t="str">
        <x:v>Edits recalculate existing rows; CSV/PDF snapshots do not auto-refresh.</x:v>
      </x:c>
    </x:row>
    <x:row r="25" ht="24" customHeight="1">
      <x:c r="A25" s="2"/>
      <x:c r="B25" s="2"/>
      <x:c r="C25" s="2"/>
      <x:c r="D25" s="9"/>
    </x:row>
    <x:row r="26" ht="24" customHeight="1">
      <x:c r="A26" s="2"/>
      <x:c r="B26" s="2"/>
      <x:c r="C26" s="2"/>
      <x:c r="D26" s="9" t="str">
        <x:v>See registers/README.md and docs/03-risk-methodology.md.</x:v>
      </x:c>
    </x:row>
    <x:row r="27" ht="24" customHeight="1">
      <x:c r="A27" s="2"/>
      <x:c r="B27" s="2"/>
      <x:c r="C27" s="2"/>
      <x:c r="D27" s="9"/>
    </x:row>
    <x:row r="28" ht="24" customHeight="1">
      <x:c r="A28" s="2"/>
      <x:c r="B28" s="2"/>
      <x:c r="C28" s="2"/>
      <x:c r="D28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0" hidden="0" customWidth="1"/>
    <x:col min="2" max="2" width="42" hidden="0" customWidth="1"/>
    <x:col min="3" max="3" width="28" hidden="0" customWidth="1"/>
    <x:col min="4" max="4" width="12" hidden="0" customWidth="1"/>
    <x:col min="5" max="5" width="12" hidden="0" customWidth="1"/>
    <x:col min="6" max="6" width="12" hidden="0" customWidth="1"/>
    <x:col min="7" max="7" width="14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  <x:col min="12" max="12" width="1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3" t="str">
        <x:v>Risk assessment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4" t="str">
        <x:v>Fictional baseline: 1 Sep 2026. Targets are estimates, not accepted outcomes.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4" customHeight="1">
      <x:c r="A5" s="8" t="str">
        <x:v>Risk</x:v>
      </x:c>
      <x:c r="B5" s="8" t="str">
        <x:v>Risk scenario</x:v>
      </x:c>
      <x:c r="C5" s="8" t="str">
        <x:v>Risk owner</x:v>
      </x:c>
      <x:c r="D5" s="8" t="str">
        <x:v>Current L (1-5)</x:v>
      </x:c>
      <x:c r="E5" s="8" t="str">
        <x:v>Current I (1-5)</x:v>
      </x:c>
      <x:c r="F5" s="8" t="str">
        <x:v>Current score</x:v>
      </x:c>
      <x:c r="G5" s="8" t="str">
        <x:v>Current band</x:v>
      </x:c>
      <x:c r="H5" s="8" t="str">
        <x:v>Target L (1-5)</x:v>
      </x:c>
      <x:c r="I5" s="8" t="str">
        <x:v>Target I (1-5)</x:v>
      </x:c>
      <x:c r="J5" s="8" t="str">
        <x:v>Target score</x:v>
      </x:c>
      <x:c r="K5" s="8" t="str">
        <x:v>Target band</x:v>
      </x:c>
      <x:c r="L5" s="8" t="str">
        <x:v>Treatment</x:v>
      </x:c>
    </x:row>
    <x:row r="6" ht="34" customHeight="1">
      <x:c r="A6" s="10" t="str">
        <x:v>R01</x:v>
      </x:c>
      <x:c r="B6" s="10" t="str">
        <x:v>Former employee retains ticket access</x:v>
      </x:c>
      <x:c r="C6" s="10" t="str">
        <x:v>Head of Support</x:v>
      </x:c>
      <x:c r="D6" s="15" t="n">
        <x:v>4</x:v>
      </x:c>
      <x:c r="E6" s="15" t="n">
        <x:v>4</x:v>
      </x:c>
      <x:c r="F6" s="16" t="n">
        <x:f>IF(OR(COUNTBLANK(D6)&gt;0,COUNTBLANK(E6)&gt;0),"Missing input",IF(AND(ISNUMBER(D6),ISNUMBER(E6)),IF(AND(D6&gt;=1,D6&lt;=5,E6&gt;=1,E6&lt;=5,MOD(D6,1)=0,MOD(E6,1)=0),D6*E6,"Invalid input"),"Invalid input"))</x:f>
        <x:v>16</x:v>
      </x:c>
      <x:c r="G6" s="17" t="str">
        <x:f>IF(ISNUMBER(F6),IF(F6&lt;=4,"Low",IF(F6&lt;=9,"Moderate",IF(F6&lt;=16,"High","Critical"))),F6)</x:f>
        <x:v>High</x:v>
      </x:c>
      <x:c r="H6" s="15" t="n">
        <x:v>2</x:v>
      </x:c>
      <x:c r="I6" s="15" t="n">
        <x:v>4</x:v>
      </x:c>
      <x:c r="J6" s="16" t="n">
        <x:f>IF(OR(COUNTBLANK(H6)&gt;0,COUNTBLANK(I6)&gt;0),"Missing input",IF(AND(ISNUMBER(H6),ISNUMBER(I6)),IF(AND(H6&gt;=1,H6&lt;=5,I6&gt;=1,I6&lt;=5,MOD(H6,1)=0,MOD(I6,1)=0),H6*I6,"Invalid input"),"Invalid input"))</x:f>
        <x:v>8</x:v>
      </x:c>
      <x:c r="K6" s="17" t="str">
        <x:f>IF(ISNUMBER(J6),IF(J6&lt;=4,"Low",IF(J6&lt;=9,"Moderate",IF(J6&lt;=16,"High","Critical"))),J6)</x:f>
        <x:v>Moderate</x:v>
      </x:c>
      <x:c r="L6" s="10" t="str">
        <x:v>T01</x:v>
      </x:c>
    </x:row>
    <x:row r="7" ht="40" customHeight="1">
      <x:c r="A7" s="10" t="str">
        <x:v>R02</x:v>
      </x:c>
      <x:c r="B7" s="10" t="str">
        <x:v>Unjustified privilege enables major compromise</x:v>
      </x:c>
      <x:c r="C7" s="10" t="str">
        <x:v>Platform Lead</x:v>
      </x:c>
      <x:c r="D7" s="15" t="n">
        <x:v>4</x:v>
      </x:c>
      <x:c r="E7" s="15" t="n">
        <x:v>5</x:v>
      </x:c>
      <x:c r="F7" s="16" t="n">
        <x:f>IF(OR(COUNTBLANK(D7)&gt;0,COUNTBLANK(E7)&gt;0),"Missing input",IF(AND(ISNUMBER(D7),ISNUMBER(E7)),IF(AND(D7&gt;=1,D7&lt;=5,E7&gt;=1,E7&lt;=5,MOD(D7,1)=0,MOD(E7,1)=0),D7*E7,"Invalid input"),"Invalid input"))</x:f>
        <x:v>20</x:v>
      </x:c>
      <x:c r="G7" s="17" t="str">
        <x:f>IF(ISNUMBER(F7),IF(F7&lt;=4,"Low",IF(F7&lt;=9,"Moderate",IF(F7&lt;=16,"High","Critical"))),F7)</x:f>
        <x:v>Critical</x:v>
      </x:c>
      <x:c r="H7" s="15" t="n">
        <x:v>2</x:v>
      </x:c>
      <x:c r="I7" s="15" t="n">
        <x:v>5</x:v>
      </x:c>
      <x:c r="J7" s="16" t="n">
        <x:f>IF(OR(COUNTBLANK(H7)&gt;0,COUNTBLANK(I7)&gt;0),"Missing input",IF(AND(ISNUMBER(H7),ISNUMBER(I7)),IF(AND(H7&gt;=1,H7&lt;=5,I7&gt;=1,I7&lt;=5,MOD(H7,1)=0,MOD(I7,1)=0),H7*I7,"Invalid input"),"Invalid input"))</x:f>
        <x:v>10</x:v>
      </x:c>
      <x:c r="K7" s="17" t="str">
        <x:f>IF(ISNUMBER(J7),IF(J7&lt;=4,"Low",IF(J7&lt;=9,"Moderate",IF(J7&lt;=16,"High","Critical"))),J7)</x:f>
        <x:v>High</x:v>
      </x:c>
      <x:c r="L7" s="10" t="str">
        <x:v>T02</x:v>
      </x:c>
    </x:row>
    <x:row r="8" ht="40" customHeight="1">
      <x:c r="A8" s="10" t="str">
        <x:v>R03</x:v>
      </x:c>
      <x:c r="B8" s="10" t="str">
        <x:v>Role change leaves excessive ticket permissions</x:v>
      </x:c>
      <x:c r="C8" s="10" t="str">
        <x:v>Head of Support</x:v>
      </x:c>
      <x:c r="D8" s="15" t="n">
        <x:v>3</x:v>
      </x:c>
      <x:c r="E8" s="15" t="n">
        <x:v>4</x:v>
      </x:c>
      <x:c r="F8" s="16" t="n">
        <x:f>IF(OR(COUNTBLANK(D8)&gt;0,COUNTBLANK(E8)&gt;0),"Missing input",IF(AND(ISNUMBER(D8),ISNUMBER(E8)),IF(AND(D8&gt;=1,D8&lt;=5,E8&gt;=1,E8&lt;=5,MOD(D8,1)=0,MOD(E8,1)=0),D8*E8,"Invalid input"),"Invalid input"))</x:f>
        <x:v>12</x:v>
      </x:c>
      <x:c r="G8" s="17" t="str">
        <x:f>IF(ISNUMBER(F8),IF(F8&lt;=4,"Low",IF(F8&lt;=9,"Moderate",IF(F8&lt;=16,"High","Critical"))),F8)</x:f>
        <x:v>High</x:v>
      </x:c>
      <x:c r="H8" s="15" t="n">
        <x:v>2</x:v>
      </x:c>
      <x:c r="I8" s="15" t="n">
        <x:v>4</x:v>
      </x:c>
      <x:c r="J8" s="16" t="n">
        <x:f>IF(OR(COUNTBLANK(H8)&gt;0,COUNTBLANK(I8)&gt;0),"Missing input",IF(AND(ISNUMBER(H8),ISNUMBER(I8)),IF(AND(H8&gt;=1,H8&lt;=5,I8&gt;=1,I8&lt;=5,MOD(H8,1)=0,MOD(I8,1)=0),H8*I8,"Invalid input"),"Invalid input"))</x:f>
        <x:v>8</x:v>
      </x:c>
      <x:c r="K8" s="17" t="str">
        <x:f>IF(ISNUMBER(J8),IF(J8&lt;=4,"Low",IF(J8&lt;=9,"Moderate",IF(J8&lt;=16,"High","Critical"))),J8)</x:f>
        <x:v>Moderate</x:v>
      </x:c>
      <x:c r="L8" s="10" t="str">
        <x:v>T03</x:v>
      </x:c>
    </x:row>
    <x:row r="9" ht="40" customHeight="1">
      <x:c r="A9" s="10" t="str">
        <x:v>R04</x:v>
      </x:c>
      <x:c r="B9" s="10" t="str">
        <x:v>Lost laptop exposes work sessions</x:v>
      </x:c>
      <x:c r="C9" s="10" t="str">
        <x:v>People and Operations Lead</x:v>
      </x:c>
      <x:c r="D9" s="15" t="n">
        <x:v>3</x:v>
      </x:c>
      <x:c r="E9" s="15" t="n">
        <x:v>3</x:v>
      </x:c>
      <x:c r="F9" s="16" t="n">
        <x:f>IF(OR(COUNTBLANK(D9)&gt;0,COUNTBLANK(E9)&gt;0),"Missing input",IF(AND(ISNUMBER(D9),ISNUMBER(E9)),IF(AND(D9&gt;=1,D9&lt;=5,E9&gt;=1,E9&lt;=5,MOD(D9,1)=0,MOD(E9,1)=0),D9*E9,"Invalid input"),"Invalid input"))</x:f>
        <x:v>9</x:v>
      </x:c>
      <x:c r="G9" s="17" t="str">
        <x:f>IF(ISNUMBER(F9),IF(F9&lt;=4,"Low",IF(F9&lt;=9,"Moderate",IF(F9&lt;=16,"High","Critical"))),F9)</x:f>
        <x:v>Moderate</x:v>
      </x:c>
      <x:c r="H9" s="15" t="n">
        <x:v>1</x:v>
      </x:c>
      <x:c r="I9" s="15" t="n">
        <x:v>3</x:v>
      </x:c>
      <x:c r="J9" s="16" t="n">
        <x:f>IF(OR(COUNTBLANK(H9)&gt;0,COUNTBLANK(I9)&gt;0),"Missing input",IF(AND(ISNUMBER(H9),ISNUMBER(I9)),IF(AND(H9&gt;=1,H9&lt;=5,I9&gt;=1,I9&lt;=5,MOD(H9,1)=0,MOD(I9,1)=0),H9*I9,"Invalid input"),"Invalid input"))</x:f>
        <x:v>3</x:v>
      </x:c>
      <x:c r="K9" s="17" t="str">
        <x:f>IF(ISNUMBER(J9),IF(J9&lt;=4,"Low",IF(J9&lt;=9,"Moderate",IF(J9&lt;=16,"High","Critical"))),J9)</x:f>
        <x:v>Low</x:v>
      </x:c>
      <x:c r="L9" s="10" t="str">
        <x:v>T04</x:v>
      </x:c>
    </x:row>
    <x:row r="10" ht="40" customHeight="1">
      <x:c r="A10" s="10" t="str">
        <x:v>R05</x:v>
      </x:c>
      <x:c r="B10" s="10" t="str">
        <x:v>Backups fail to restore after corruption</x:v>
      </x:c>
      <x:c r="C10" s="10" t="str">
        <x:v>Platform Lead</x:v>
      </x:c>
      <x:c r="D10" s="15" t="n">
        <x:v>4</x:v>
      </x:c>
      <x:c r="E10" s="15" t="n">
        <x:v>5</x:v>
      </x:c>
      <x:c r="F10" s="16" t="n">
        <x:f>IF(OR(COUNTBLANK(D10)&gt;0,COUNTBLANK(E10)&gt;0),"Missing input",IF(AND(ISNUMBER(D10),ISNUMBER(E10)),IF(AND(D10&gt;=1,D10&lt;=5,E10&gt;=1,E10&lt;=5,MOD(D10,1)=0,MOD(E10,1)=0),D10*E10,"Invalid input"),"Invalid input"))</x:f>
        <x:v>20</x:v>
      </x:c>
      <x:c r="G10" s="17" t="str">
        <x:f>IF(ISNUMBER(F10),IF(F10&lt;=4,"Low",IF(F10&lt;=9,"Moderate",IF(F10&lt;=16,"High","Critical"))),F10)</x:f>
        <x:v>Critical</x:v>
      </x:c>
      <x:c r="H10" s="15" t="n">
        <x:v>2</x:v>
      </x:c>
      <x:c r="I10" s="15" t="n">
        <x:v>4</x:v>
      </x:c>
      <x:c r="J10" s="16" t="n">
        <x:f>IF(OR(COUNTBLANK(H10)&gt;0,COUNTBLANK(I10)&gt;0),"Missing input",IF(AND(ISNUMBER(H10),ISNUMBER(I10)),IF(AND(H10&gt;=1,H10&lt;=5,I10&gt;=1,I10&lt;=5,MOD(H10,1)=0,MOD(I10,1)=0),H10*I10,"Invalid input"),"Invalid input"))</x:f>
        <x:v>8</x:v>
      </x:c>
      <x:c r="K10" s="17" t="str">
        <x:f>IF(ISNUMBER(J10),IF(J10&lt;=4,"Low",IF(J10&lt;=9,"Moderate",IF(J10&lt;=16,"High","Critical"))),J10)</x:f>
        <x:v>Moderate</x:v>
      </x:c>
      <x:c r="L10" s="10" t="str">
        <x:v>T05</x:v>
      </x:c>
    </x:row>
    <x:row r="11" ht="40" customHeight="1">
      <x:c r="A11" s="10" t="str">
        <x:v>R06</x:v>
      </x:c>
      <x:c r="B11" s="10" t="str">
        <x:v>Cloud disruption interrupts customer service</x:v>
      </x:c>
      <x:c r="C11" s="10" t="str">
        <x:v>Platform Lead</x:v>
      </x:c>
      <x:c r="D11" s="15" t="n">
        <x:v>3</x:v>
      </x:c>
      <x:c r="E11" s="15" t="n">
        <x:v>4</x:v>
      </x:c>
      <x:c r="F11" s="16" t="n">
        <x:f>IF(OR(COUNTBLANK(D11)&gt;0,COUNTBLANK(E11)&gt;0),"Missing input",IF(AND(ISNUMBER(D11),ISNUMBER(E11)),IF(AND(D11&gt;=1,D11&lt;=5,E11&gt;=1,E11&lt;=5,MOD(D11,1)=0,MOD(E11,1)=0),D11*E11,"Invalid input"),"Invalid input"))</x:f>
        <x:v>12</x:v>
      </x:c>
      <x:c r="G11" s="17" t="str">
        <x:f>IF(ISNUMBER(F11),IF(F11&lt;=4,"Low",IF(F11&lt;=9,"Moderate",IF(F11&lt;=16,"High","Critical"))),F11)</x:f>
        <x:v>High</x:v>
      </x:c>
      <x:c r="H11" s="15" t="n">
        <x:v>2</x:v>
      </x:c>
      <x:c r="I11" s="15" t="n">
        <x:v>4</x:v>
      </x:c>
      <x:c r="J11" s="16" t="n">
        <x:f>IF(OR(COUNTBLANK(H11)&gt;0,COUNTBLANK(I11)&gt;0),"Missing input",IF(AND(ISNUMBER(H11),ISNUMBER(I11)),IF(AND(H11&gt;=1,H11&lt;=5,I11&gt;=1,I11&lt;=5,MOD(H11,1)=0,MOD(I11,1)=0),H11*I11,"Invalid input"),"Invalid input"))</x:f>
        <x:v>8</x:v>
      </x:c>
      <x:c r="K11" s="17" t="str">
        <x:f>IF(ISNUMBER(J11),IF(J11&lt;=4,"Low",IF(J11&lt;=9,"Moderate",IF(J11&lt;=16,"High","Critical"))),J11)</x:f>
        <x:v>Moderate</x:v>
      </x:c>
      <x:c r="L11" s="10" t="str">
        <x:v>T06</x:v>
      </x:c>
    </x:row>
    <x:row r="12" ht="34" customHeight="1">
      <x:c r="A12" s="10" t="str">
        <x:v>R07</x:v>
      </x:c>
      <x:c r="B12" s="10" t="str">
        <x:v>Unsafe release weakens tenant isolation</x:v>
      </x:c>
      <x:c r="C12" s="10" t="str">
        <x:v>Head of Engineering</x:v>
      </x:c>
      <x:c r="D12" s="15" t="n">
        <x:v>3</x:v>
      </x:c>
      <x:c r="E12" s="15" t="n">
        <x:v>5</x:v>
      </x:c>
      <x:c r="F12" s="16" t="n">
        <x:f>IF(OR(COUNTBLANK(D12)&gt;0,COUNTBLANK(E12)&gt;0),"Missing input",IF(AND(ISNUMBER(D12),ISNUMBER(E12)),IF(AND(D12&gt;=1,D12&lt;=5,E12&gt;=1,E12&lt;=5,MOD(D12,1)=0,MOD(E12,1)=0),D12*E12,"Invalid input"),"Invalid input"))</x:f>
        <x:v>15</x:v>
      </x:c>
      <x:c r="G12" s="17" t="str">
        <x:f>IF(ISNUMBER(F12),IF(F12&lt;=4,"Low",IF(F12&lt;=9,"Moderate",IF(F12&lt;=16,"High","Critical"))),F12)</x:f>
        <x:v>High</x:v>
      </x:c>
      <x:c r="H12" s="15" t="n">
        <x:v>2</x:v>
      </x:c>
      <x:c r="I12" s="15" t="n">
        <x:v>5</x:v>
      </x:c>
      <x:c r="J12" s="16" t="n">
        <x:f>IF(OR(COUNTBLANK(H12)&gt;0,COUNTBLANK(I12)&gt;0),"Missing input",IF(AND(ISNUMBER(H12),ISNUMBER(I12)),IF(AND(H12&gt;=1,H12&lt;=5,I12&gt;=1,I12&lt;=5,MOD(H12,1)=0,MOD(I12,1)=0),H12*I12,"Invalid input"),"Invalid input"))</x:f>
        <x:v>10</x:v>
      </x:c>
      <x:c r="K12" s="17" t="str">
        <x:f>IF(ISNUMBER(J12),IF(J12&lt;=4,"Low",IF(J12&lt;=9,"Moderate",IF(J12&lt;=16,"High","Critical"))),J12)</x:f>
        <x:v>High</x:v>
      </x:c>
      <x:c r="L12" s="10" t="str">
        <x:v>T07</x:v>
      </x:c>
    </x:row>
    <x:row r="13" ht="40" customHeight="1">
      <x:c r="A13" s="10" t="str">
        <x:v>R08</x:v>
      </x:c>
      <x:c r="B13" s="10" t="str">
        <x:v>Supplier handles customer information improperly</x:v>
      </x:c>
      <x:c r="C13" s="10" t="str">
        <x:v>People and Operations Lead</x:v>
      </x:c>
      <x:c r="D13" s="15" t="n">
        <x:v>3</x:v>
      </x:c>
      <x:c r="E13" s="15" t="n">
        <x:v>4</x:v>
      </x:c>
      <x:c r="F13" s="16" t="n">
        <x:f>IF(OR(COUNTBLANK(D13)&gt;0,COUNTBLANK(E13)&gt;0),"Missing input",IF(AND(ISNUMBER(D13),ISNUMBER(E13)),IF(AND(D13&gt;=1,D13&lt;=5,E13&gt;=1,E13&lt;=5,MOD(D13,1)=0,MOD(E13,1)=0),D13*E13,"Invalid input"),"Invalid input"))</x:f>
        <x:v>12</x:v>
      </x:c>
      <x:c r="G13" s="17" t="str">
        <x:f>IF(ISNUMBER(F13),IF(F13&lt;=4,"Low",IF(F13&lt;=9,"Moderate",IF(F13&lt;=16,"High","Critical"))),F13)</x:f>
        <x:v>High</x:v>
      </x:c>
      <x:c r="H13" s="15" t="n">
        <x:v>2</x:v>
      </x:c>
      <x:c r="I13" s="15" t="n">
        <x:v>4</x:v>
      </x:c>
      <x:c r="J13" s="16" t="n">
        <x:f>IF(OR(COUNTBLANK(H13)&gt;0,COUNTBLANK(I13)&gt;0),"Missing input",IF(AND(ISNUMBER(H13),ISNUMBER(I13)),IF(AND(H13&gt;=1,H13&lt;=5,I13&gt;=1,I13&lt;=5,MOD(H13,1)=0,MOD(I13,1)=0),H13*I13,"Invalid input"),"Invalid input"))</x:f>
        <x:v>8</x:v>
      </x:c>
      <x:c r="K13" s="17" t="str">
        <x:f>IF(ISNUMBER(J13),IF(J13&lt;=4,"Low",IF(J13&lt;=9,"Moderate",IF(J13&lt;=16,"High","Critical"))),J13)</x:f>
        <x:v>Moderate</x:v>
      </x:c>
      <x:c r="L13" s="10" t="str">
        <x:v>T08</x:v>
      </x:c>
    </x:row>
    <x:row r="14" ht="34" customHeight="1">
      <x:c r="A14" s="10" t="str">
        <x:v>R09</x:v>
      </x:c>
      <x:c r="B14" s="10" t="str">
        <x:v>Slow incident response increases harm</x:v>
      </x:c>
      <x:c r="C14" s="10" t="str">
        <x:v>Platform Lead</x:v>
      </x:c>
      <x:c r="D14" s="15" t="n">
        <x:v>3</x:v>
      </x:c>
      <x:c r="E14" s="15" t="n">
        <x:v>4</x:v>
      </x:c>
      <x:c r="F14" s="16" t="n">
        <x:f>IF(OR(COUNTBLANK(D14)&gt;0,COUNTBLANK(E14)&gt;0),"Missing input",IF(AND(ISNUMBER(D14),ISNUMBER(E14)),IF(AND(D14&gt;=1,D14&lt;=5,E14&gt;=1,E14&lt;=5,MOD(D14,1)=0,MOD(E14,1)=0),D14*E14,"Invalid input"),"Invalid input"))</x:f>
        <x:v>12</x:v>
      </x:c>
      <x:c r="G14" s="17" t="str">
        <x:f>IF(ISNUMBER(F14),IF(F14&lt;=4,"Low",IF(F14&lt;=9,"Moderate",IF(F14&lt;=16,"High","Critical"))),F14)</x:f>
        <x:v>High</x:v>
      </x:c>
      <x:c r="H14" s="15" t="n">
        <x:v>2</x:v>
      </x:c>
      <x:c r="I14" s="15" t="n">
        <x:v>3</x:v>
      </x:c>
      <x:c r="J14" s="16" t="n">
        <x:f>IF(OR(COUNTBLANK(H14)&gt;0,COUNTBLANK(I14)&gt;0),"Missing input",IF(AND(ISNUMBER(H14),ISNUMBER(I14)),IF(AND(H14&gt;=1,H14&lt;=5,I14&gt;=1,I14&lt;=5,MOD(H14,1)=0,MOD(I14,1)=0),H14*I14,"Invalid input"),"Invalid input"))</x:f>
        <x:v>6</x:v>
      </x:c>
      <x:c r="K14" s="17" t="str">
        <x:f>IF(ISNUMBER(J14),IF(J14&lt;=4,"Low",IF(J14&lt;=9,"Moderate",IF(J14&lt;=16,"High","Critical"))),J14)</x:f>
        <x:v>Moderate</x:v>
      </x:c>
      <x:c r="L14" s="10" t="str">
        <x:v>T09</x:v>
      </x:c>
    </x:row>
    <x:row r="15" ht="40" customHeight="1">
      <x:c r="A15" s="10" t="str">
        <x:v>R10</x:v>
      </x:c>
      <x:c r="B15" s="10" t="str">
        <x:v>Exposed build secret permits production access</x:v>
      </x:c>
      <x:c r="C15" s="10" t="str">
        <x:v>Platform Lead</x:v>
      </x:c>
      <x:c r="D15" s="15" t="n">
        <x:v>3</x:v>
      </x:c>
      <x:c r="E15" s="15" t="n">
        <x:v>5</x:v>
      </x:c>
      <x:c r="F15" s="16" t="n">
        <x:f>IF(OR(COUNTBLANK(D15)&gt;0,COUNTBLANK(E15)&gt;0),"Missing input",IF(AND(ISNUMBER(D15),ISNUMBER(E15)),IF(AND(D15&gt;=1,D15&lt;=5,E15&gt;=1,E15&lt;=5,MOD(D15,1)=0,MOD(E15,1)=0),D15*E15,"Invalid input"),"Invalid input"))</x:f>
        <x:v>15</x:v>
      </x:c>
      <x:c r="G15" s="17" t="str">
        <x:f>IF(ISNUMBER(F15),IF(F15&lt;=4,"Low",IF(F15&lt;=9,"Moderate",IF(F15&lt;=16,"High","Critical"))),F15)</x:f>
        <x:v>High</x:v>
      </x:c>
      <x:c r="H15" s="15" t="n">
        <x:v>2</x:v>
      </x:c>
      <x:c r="I15" s="15" t="n">
        <x:v>5</x:v>
      </x:c>
      <x:c r="J15" s="16" t="n">
        <x:f>IF(OR(COUNTBLANK(H15)&gt;0,COUNTBLANK(I15)&gt;0),"Missing input",IF(AND(ISNUMBER(H15),ISNUMBER(I15)),IF(AND(H15&gt;=1,H15&lt;=5,I15&gt;=1,I15&lt;=5,MOD(H15,1)=0,MOD(I15,1)=0),H15*I15,"Invalid input"),"Invalid input"))</x:f>
        <x:v>10</x:v>
      </x:c>
      <x:c r="K15" s="17" t="str">
        <x:f>IF(ISNUMBER(J15),IF(J15&lt;=4,"Low",IF(J15&lt;=9,"Moderate",IF(J15&lt;=16,"High","Critical"))),J15)</x:f>
        <x:v>High</x:v>
      </x:c>
      <x:c r="L15" s="10" t="str">
        <x:v>T10</x:v>
      </x:c>
    </x:row>
    <x:row r="16" ht="40" customHeight="1">
      <x:c r="A16" s="10" t="str">
        <x:v>R11</x:v>
      </x:c>
      <x:c r="B16" s="10" t="str">
        <x:v>People records shared with the wrong group</x:v>
      </x:c>
      <x:c r="C16" s="10" t="str">
        <x:v>People and Operations Lead</x:v>
      </x:c>
      <x:c r="D16" s="15" t="n">
        <x:v>2</x:v>
      </x:c>
      <x:c r="E16" s="15" t="n">
        <x:v>3</x:v>
      </x:c>
      <x:c r="F16" s="16" t="n">
        <x:f>IF(OR(COUNTBLANK(D16)&gt;0,COUNTBLANK(E16)&gt;0),"Missing input",IF(AND(ISNUMBER(D16),ISNUMBER(E16)),IF(AND(D16&gt;=1,D16&lt;=5,E16&gt;=1,E16&lt;=5,MOD(D16,1)=0,MOD(E16,1)=0),D16*E16,"Invalid input"),"Invalid input"))</x:f>
        <x:v>6</x:v>
      </x:c>
      <x:c r="G16" s="17" t="str">
        <x:f>IF(ISNUMBER(F16),IF(F16&lt;=4,"Low",IF(F16&lt;=9,"Moderate",IF(F16&lt;=16,"High","Critical"))),F16)</x:f>
        <x:v>Moderate</x:v>
      </x:c>
      <x:c r="H16" s="15" t="n">
        <x:v>1</x:v>
      </x:c>
      <x:c r="I16" s="15" t="n">
        <x:v>3</x:v>
      </x:c>
      <x:c r="J16" s="16" t="n">
        <x:f>IF(OR(COUNTBLANK(H16)&gt;0,COUNTBLANK(I16)&gt;0),"Missing input",IF(AND(ISNUMBER(H16),ISNUMBER(I16)),IF(AND(H16&gt;=1,H16&lt;=5,I16&gt;=1,I16&lt;=5,MOD(H16,1)=0,MOD(I16,1)=0),H16*I16,"Invalid input"),"Invalid input"))</x:f>
        <x:v>3</x:v>
      </x:c>
      <x:c r="K16" s="17" t="str">
        <x:f>IF(ISNUMBER(J16),IF(J16&lt;=4,"Low",IF(J16&lt;=9,"Moderate",IF(J16&lt;=16,"High","Critical"))),J16)</x:f>
        <x:v>Low</x:v>
      </x:c>
      <x:c r="L16" s="10" t="str">
        <x:v>T11</x:v>
      </x:c>
    </x:row>
    <x:row r="17" ht="40" customHeight="1">
      <x:c r="A17" s="10" t="str">
        <x:v>R12</x:v>
      </x:c>
      <x:c r="B17" s="10" t="str">
        <x:v>Brief public website outage delays enquiries</x:v>
      </x:c>
      <x:c r="C17" s="10" t="str">
        <x:v>Sales Lead</x:v>
      </x:c>
      <x:c r="D17" s="15" t="n">
        <x:v>2</x:v>
      </x:c>
      <x:c r="E17" s="15" t="n">
        <x:v>2</x:v>
      </x:c>
      <x:c r="F17" s="16" t="n">
        <x:f>IF(OR(COUNTBLANK(D17)&gt;0,COUNTBLANK(E17)&gt;0),"Missing input",IF(AND(ISNUMBER(D17),ISNUMBER(E17)),IF(AND(D17&gt;=1,D17&lt;=5,E17&gt;=1,E17&lt;=5,MOD(D17,1)=0,MOD(E17,1)=0),D17*E17,"Invalid input"),"Invalid input"))</x:f>
        <x:v>4</x:v>
      </x:c>
      <x:c r="G17" s="17" t="str">
        <x:f>IF(ISNUMBER(F17),IF(F17&lt;=4,"Low",IF(F17&lt;=9,"Moderate",IF(F17&lt;=16,"High","Critical"))),F17)</x:f>
        <x:v>Low</x:v>
      </x:c>
      <x:c r="H17" s="15" t="n">
        <x:v>2</x:v>
      </x:c>
      <x:c r="I17" s="15" t="n">
        <x:v>2</x:v>
      </x:c>
      <x:c r="J17" s="16" t="n">
        <x:f>IF(OR(COUNTBLANK(H17)&gt;0,COUNTBLANK(I17)&gt;0),"Missing input",IF(AND(ISNUMBER(H17),ISNUMBER(I17)),IF(AND(H17&gt;=1,H17&lt;=5,I17&gt;=1,I17&lt;=5,MOD(H17,1)=0,MOD(I17,1)=0),H17*I17,"Invalid input"),"Invalid input"))</x:f>
        <x:v>4</x:v>
      </x:c>
      <x:c r="K17" s="17" t="str">
        <x:f>IF(ISNUMBER(J17),IF(J17&lt;=4,"Low",IF(J17&lt;=9,"Moderate",IF(J17&lt;=16,"High","Critical"))),J17)</x:f>
        <x:v>Low</x:v>
      </x:c>
      <x:c r="L17" s="10" t="str">
        <x:v>T12</x:v>
      </x:c>
    </x:row>
  </x:sheetData>
  <x:conditionalFormatting sqref="G6:G17">
    <x:cfRule type="containsText" dxfId="0" priority="1" operator="containsText" text="Critical"/>
    <x:cfRule type="containsText" dxfId="1" priority="2" operator="containsText" text="High"/>
    <x:cfRule type="containsText" dxfId="2" priority="3" operator="containsText" text="Moderate"/>
    <x:cfRule type="containsText" dxfId="3" priority="4" operator="containsText" text="Missing input"/>
    <x:cfRule type="containsText" dxfId="4" priority="5" operator="containsText" text="Invalid input"/>
  </x:conditionalFormatting>
  <x:conditionalFormatting sqref="K6:K17">
    <x:cfRule type="containsText" dxfId="5" priority="6" operator="containsText" text="Critical"/>
    <x:cfRule type="containsText" dxfId="6" priority="7" operator="containsText" text="High"/>
    <x:cfRule type="containsText" dxfId="7" priority="8" operator="containsText" text="Moderate"/>
    <x:cfRule type="containsText" dxfId="8" priority="9" operator="containsText" text="Missing input"/>
    <x:cfRule type="containsText" dxfId="9" priority="10" operator="containsText" text="Invalid input"/>
  </x:conditionalFormatting>
  <x:dataValidations count="2">
    <x:dataValidation type="whole" operator="between" sqref="D6:E17">
      <x:formula1>1</x:formula1>
      <x:formula2>5</x:formula2>
    </x:dataValidation>
    <x:dataValidation type="whole" operator="between" sqref="H6:I17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e054132cb2b496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0" hidden="0" customWidth="1"/>
    <x:col min="2" max="2" width="20" hidden="0" customWidth="1"/>
    <x:col min="3" max="3" width="65" hidden="0" customWidth="1"/>
    <x:col min="4" max="4" width="60" hidden="0" customWidth="1"/>
    <x:col min="5" max="5" width="58" hidden="0" customWidth="1"/>
    <x:col min="6" max="6" width="58" hidden="0" customWidth="1"/>
    <x:col min="7" max="7" width="64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Risk reasoning</x:v>
      </x:c>
      <x:c r="B2" s="2"/>
      <x:c r="C2" s="2"/>
      <x:c r="D2" s="2"/>
      <x:c r="E2" s="2"/>
      <x:c r="F2" s="2"/>
      <x:c r="G2" s="2"/>
    </x:row>
    <x:row r="3">
      <x:c r="A3" s="4" t="str">
        <x:v>Safeguards are assumed unless linked to synthetic evidence. Read the risk method before editing.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34" customHeight="1">
      <x:c r="A5" s="8" t="str">
        <x:v>Risk</x:v>
      </x:c>
      <x:c r="B5" s="8" t="str">
        <x:v>Assets</x:v>
      </x:c>
      <x:c r="C5" s="8" t="str">
        <x:v>Event and consequence</x:v>
      </x:c>
      <x:c r="D5" s="8" t="str">
        <x:v>Existing safeguards (assumed)</x:v>
      </x:c>
      <x:c r="E5" s="8" t="str">
        <x:v>Current likelihood reasoning</x:v>
      </x:c>
      <x:c r="F5" s="8" t="str">
        <x:v>Current impact reasoning</x:v>
      </x:c>
      <x:c r="G5" s="8" t="str">
        <x:v>Conditional target reasoning</x:v>
      </x:c>
    </x:row>
    <x:row r="6" ht="40" customHeight="1">
      <x:c r="A6" s="10" t="str">
        <x:v>R01</x:v>
      </x:c>
      <x:c r="B6" s="10" t="str">
        <x:v>A04;A01</x:v>
      </x:c>
      <x:c r="C6" s="10" t="str">
        <x:v>An offboarding task is missed, allowing a former employee to read or export tickets.</x:v>
      </x:c>
      <x:c r="D6" s="10" t="str">
        <x:v>Manual leaver checklist; manager notifications are assumed but not reconciled to system exports.</x:v>
      </x:c>
      <x:c r="E6" s="10" t="str">
        <x:v>The fixture contains an active departed user and manual handoffs recur at each departure.</x:v>
      </x:c>
      <x:c r="F6" s="10" t="str">
        <x:v>Customer ticket exposure could harm multiple customers and trigger contractual investigation.</x:v>
      </x:c>
      <x:c r="G6" s="10" t="str">
        <x:v>Central leaver reconciliation and review reduce recurrence; an undetected account can still expose tickets.</x:v>
      </x:c>
    </x:row>
    <x:row r="7" ht="40" customHeight="1">
      <x:c r="A7" s="10" t="str">
        <x:v>R02</x:v>
      </x:c>
      <x:c r="B7" s="10" t="str">
        <x:v>A03;A05;A04</x:v>
      </x:c>
      <x:c r="C7" s="10" t="str">
        <x:v>A compromised or misused privileged account changes infrastructure or repositories beyond its business need.</x:v>
      </x:c>
      <x:c r="D7" s="10" t="str">
        <x:v>Some named administrator approvals and MFA are assumed; privileged assignments are not reviewed systematically.</x:v>
      </x:c>
      <x:c r="E7" s="10" t="str">
        <x:v>One unjustified repository administrator exists in the fixture and routine reviews are absent.</x:v>
      </x:c>
      <x:c r="F7" s="10" t="str">
        <x:v>Privileged misuse could affect every tenant or the software release chain.</x:v>
      </x:c>
      <x:c r="G7" s="10" t="str">
        <x:v>Approval and strong authentication reduce exposure; a successful privileged compromise remains severe.</x:v>
      </x:c>
    </x:row>
    <x:row r="8" ht="40" customHeight="1">
      <x:c r="A8" s="10" t="str">
        <x:v>R03</x:v>
      </x:c>
      <x:c r="B8" s="10" t="str">
        <x:v>A02;A01</x:v>
      </x:c>
      <x:c r="C8" s="10" t="str">
        <x:v>A sales employee retains support-agent permissions and accesses customer ticket content without a current need.</x:v>
      </x:c>
      <x:c r="D8" s="10" t="str">
        <x:v>Department role matrix exists as a fictional baseline; role-change triggers are informal.</x:v>
      </x:c>
      <x:c r="E8" s="10" t="str">
        <x:v>Role changes occur periodically and the fixture shows one mismatch against approved access.</x:v>
      </x:c>
      <x:c r="F8" s="10" t="str">
        <x:v>Inappropriate ticket access could expose customer conversations and attachments.</x:v>
      </x:c>
      <x:c r="G8" s="10" t="str">
        <x:v>Event-driven permission checks reduce recurrence; the impact of missed access remains unchanged.</x:v>
      </x:c>
    </x:row>
    <x:row r="9" ht="40" customHeight="1">
      <x:c r="A9" s="10" t="str">
        <x:v>R04</x:v>
      </x:c>
      <x:c r="B9" s="10" t="str">
        <x:v>A08;A04</x:v>
      </x:c>
      <x:c r="C9" s="10" t="str">
        <x:v>A stolen laptop with an active session is used to access work information.</x:v>
      </x:c>
      <x:c r="D9" s="10" t="str">
        <x:v>Screen locking and limited local storage are assumed; encryption and remote-wipe coverage are not verified.</x:v>
      </x:c>
      <x:c r="E9" s="10" t="str">
        <x:v>Remote staff carry devices and device safeguards lack a verified inventory.</x:v>
      </x:c>
      <x:c r="F9" s="10" t="str">
        <x:v>A single device could expose a bounded set of work records and sessions.</x:v>
      </x:c>
      <x:c r="G9" s="10" t="str">
        <x:v>Verified encryption and session revocation make successful access less likely; exposed sessions still matter.</x:v>
      </x:c>
    </x:row>
    <x:row r="10" ht="40" customHeight="1">
      <x:c r="A10" s="10" t="str">
        <x:v>R05</x:v>
      </x:c>
      <x:c r="B10" s="10" t="str">
        <x:v>A07;A01;A02</x:v>
      </x:c>
      <x:c r="C10" s="10" t="str">
        <x:v>Data corruption is followed by a failed restore, causing extended service loss or unrecoverable tickets.</x:v>
      </x:c>
      <x:c r="D10" s="10" t="str">
        <x:v>Nightly backups are assumed; no successful restore evidence or isolated recovery copy is available.</x:v>
      </x:c>
      <x:c r="E10" s="10" t="str">
        <x:v>Backup jobs exist but recoverability has never been demonstrated in this scenario.</x:v>
      </x:c>
      <x:c r="F10" s="10" t="str">
        <x:v>Failed recovery could cause prolonged all-customer outage and permanent ticket loss.</x:v>
      </x:c>
      <x:c r="G10" s="10" t="str">
        <x:v>A tested isolated restore and integrity checks reduce failure likelihood and bound the recovery consequence.</x:v>
      </x:c>
    </x:row>
    <x:row r="11" ht="40" customHeight="1">
      <x:c r="A11" s="10" t="str">
        <x:v>R06</x:v>
      </x:c>
      <x:c r="B11" s="10" t="str">
        <x:v>A03;A02</x:v>
      </x:c>
      <x:c r="C11" s="10" t="str">
        <x:v>A supplier or regional disruption interrupts the single-region service beyond customer tolerances.</x:v>
      </x:c>
      <x:c r="D11" s="10" t="str">
        <x:v>Supplier status monitoring is assumed; no tested service recovery arrangement exists.</x:v>
      </x:c>
      <x:c r="E11" s="10" t="str">
        <x:v>A single-region dependency creates a credible interruption path without tested failover.</x:v>
      </x:c>
      <x:c r="F11" s="10" t="str">
        <x:v>A multi-hour service interruption would prevent customer support and breach assumed service commitments.</x:v>
      </x:c>
      <x:c r="G11" s="10" t="str">
        <x:v>Redundancy and exercised recovery reduce prolonged interruption likelihood; a severe regional event still matters.</x:v>
      </x:c>
    </x:row>
    <x:row r="12" ht="40" customHeight="1">
      <x:c r="A12" s="10" t="str">
        <x:v>R07</x:v>
      </x:c>
      <x:c r="B12" s="10" t="str">
        <x:v>A05;A02;A01</x:v>
      </x:c>
      <x:c r="C12" s="10" t="str">
        <x:v>An inadequately reviewed change bypasses tenant authorization and exposes another customer's tickets.</x:v>
      </x:c>
      <x:c r="D12" s="10" t="str">
        <x:v>Peer review is assumed; required security tests and release approvals are not enforced.</x:v>
      </x:c>
      <x:c r="E12" s="10" t="str">
        <x:v>Frequent changes and missing negative authorization tests create repeated opportunities.</x:v>
      </x:c>
      <x:c r="F12" s="10" t="str">
        <x:v>Cross-tenant access can expose information across the customer base.</x:v>
      </x:c>
      <x:c r="G12" s="10" t="str">
        <x:v>Required reviews and tenant-isolation tests reduce unsafe releases; a missed defect remains severe.</x:v>
      </x:c>
    </x:row>
    <x:row r="13" ht="40" customHeight="1">
      <x:c r="A13" s="10" t="str">
        <x:v>R08</x:v>
      </x:c>
      <x:c r="B13" s="10" t="str">
        <x:v>A01;A09</x:v>
      </x:c>
      <x:c r="C13" s="10" t="str">
        <x:v>A support or hosting supplier retains or discloses customer data contrary to agreed handling expectations.</x:v>
      </x:c>
      <x:c r="D13" s="10" t="str">
        <x:v>Basic purchasing approvals are assumed; supplier data flows and security terms have not been reviewed.</x:v>
      </x:c>
      <x:c r="E13" s="10" t="str">
        <x:v>Several suppliers handle information without a consistent security review.</x:v>
      </x:c>
      <x:c r="F13" s="10" t="str">
        <x:v>Supplier disclosure could expose customer records and undermine commitments.</x:v>
      </x:c>
      <x:c r="G13" s="10" t="str">
        <x:v>Due diligence and contractual handling conditions reduce exposure; supplier breaches remain possible.</x:v>
      </x:c>
    </x:row>
    <x:row r="14" ht="40" customHeight="1">
      <x:c r="A14" s="10" t="str">
        <x:v>R09</x:v>
      </x:c>
      <x:c r="B14" s="10" t="str">
        <x:v>A02;A03;A01</x:v>
      </x:c>
      <x:c r="C14" s="10" t="str">
        <x:v>Unclear escalation and missing investigation records delay containment of suspicious access.</x:v>
      </x:c>
      <x:c r="D14" s="10" t="str">
        <x:v>Staff can contact the Platform Lead; no exercised incident procedure or consistent event review exists.</x:v>
      </x:c>
      <x:c r="E14" s="10" t="str">
        <x:v>Ad hoc escalation and incomplete logging make delayed recognition plausible.</x:v>
      </x:c>
      <x:c r="F14" s="10" t="str">
        <x:v>An uncontained incident can increase ticket exposure and extend downtime.</x:v>
      </x:c>
      <x:c r="G14" s="10" t="str">
        <x:v>Logging and exercised escalation reduce delay and limit incident duration; detection is still imperfect.</x:v>
      </x:c>
    </x:row>
    <x:row r="15" ht="40" customHeight="1">
      <x:c r="A15" s="10" t="str">
        <x:v>R10</x:v>
      </x:c>
      <x:c r="B15" s="10" t="str">
        <x:v>A06;A05;A03</x:v>
      </x:c>
      <x:c r="C15" s="10" t="str">
        <x:v>A service secret copied into source or build output is obtained and used to access production.</x:v>
      </x:c>
      <x:c r="D15" s="10" t="str">
        <x:v>A secrets store is assumed; legacy shared tokens and inconsistent scanning remain.</x:v>
      </x:c>
      <x:c r="E15" s="10" t="str">
        <x:v>Build and support workflows create recurring copying opportunities with incomplete detection.</x:v>
      </x:c>
      <x:c r="F15" s="10" t="str">
        <x:v>A high-impact secret may enable broad production access or an unauthorized release.</x:v>
      </x:c>
      <x:c r="G15" s="10" t="str">
        <x:v>Scoped short-lived credentials, rotation and scanning reduce exposure; a missed powerful secret remains severe.</x:v>
      </x:c>
    </x:row>
    <x:row r="16" ht="40" customHeight="1">
      <x:c r="A16" s="10" t="str">
        <x:v>R11</x:v>
      </x:c>
      <x:c r="B16" s="10" t="str">
        <x:v>A09</x:v>
      </x:c>
      <x:c r="C16" s="10" t="str">
        <x:v>An overly broad document link exposes employment records to colleagues without a business need.</x:v>
      </x:c>
      <x:c r="D16" s="10" t="str">
        <x:v>Separate people folder and small authorized group are assumed; link sharing is not periodically checked.</x:v>
      </x:c>
      <x:c r="E16" s="10" t="str">
        <x:v>Few record handlers reduce frequency, but unchecked sharing remains a plausible route.</x:v>
      </x:c>
      <x:c r="F16" s="10" t="str">
        <x:v>Exposure would affect a bounded set of employee personal information and trust.</x:v>
      </x:c>
      <x:c r="G16" s="10" t="str">
        <x:v>Restricted links and periodic review reduce accidental access; disclosed people records still have material impact.</x:v>
      </x:c>
    </x:row>
    <x:row r="17" ht="40" customHeight="1">
      <x:c r="A17" s="10" t="str">
        <x:v>R12</x:v>
      </x:c>
      <x:c r="B17" s="10" t="str">
        <x:v>A10</x:v>
      </x:c>
      <x:c r="C17" s="10" t="str">
        <x:v>A brief outage of the separate static marketing website delays prospective customer enquiries.</x:v>
      </x:c>
      <x:c r="D17" s="10" t="str">
        <x:v>Managed hosting and static content are assumed; existing customers use a separate service URL and email.</x:v>
      </x:c>
      <x:c r="E17" s="10" t="str">
        <x:v>A small static site with managed hosting presents limited ordinary outage exposure.</x:v>
      </x:c>
      <x:c r="F17" s="10" t="str">
        <x:v>Only short-term enquiry delay is expected; customer service and customer data are unaffected.</x:v>
      </x:c>
      <x:c r="G17" s="10" t="str">
        <x:v>Accept within low-risk appetite while monitoring scope and business dependency changes.</x:v>
      </x:c>
    </x:row>
  </x:sheetData>
  <x:pageMargins left="0.7" right="0.7" top="0.75" bottom="0.75" header="0.3" footer="0.3"/>
  <x:tableParts count="1">
    <x:tablePart xmlns:r="http://schemas.openxmlformats.org/officeDocument/2006/relationships" r:id="R60b873c12af748e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2" hidden="0" customWidth="1"/>
    <x:col min="4" max="4" width="28" hidden="0" customWidth="1"/>
    <x:col min="5" max="5" width="72" hidden="0" customWidth="1"/>
    <x:col min="6" max="6" width="15" hidden="0" customWidth="1"/>
    <x:col min="7" max="7" width="38" hidden="0" customWidth="1"/>
    <x:col min="8" max="8" width="35" hidden="0" customWidth="1"/>
    <x:col min="9" max="9" width="65" hidden="0" customWidth="1"/>
    <x:col min="10" max="10" width="52" hidden="0" customWidth="1"/>
    <x:col min="11" max="11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3" t="str">
        <x:v>Treatment plan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4" t="str">
        <x:v>Day 0: 7 Sep 2026. Sample corrections do not close recurring implementation actions.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4" customHeight="1">
      <x:c r="A5" s="8" t="str">
        <x:v>Treatment</x:v>
      </x:c>
      <x:c r="B5" s="8" t="str">
        <x:v>Risk</x:v>
      </x:c>
      <x:c r="C5" s="8" t="str">
        <x:v>Decision</x:v>
      </x:c>
      <x:c r="D5" s="8" t="str">
        <x:v>Owner</x:v>
      </x:c>
      <x:c r="E5" s="8" t="str">
        <x:v>Proposed action</x:v>
      </x:c>
      <x:c r="F5" s="8" t="str">
        <x:v>Target date</x:v>
      </x:c>
      <x:c r="G5" s="8" t="str">
        <x:v>Status</x:v>
      </x:c>
      <x:c r="H5" s="8" t="str">
        <x:v>Controls</x:v>
      </x:c>
      <x:c r="I5" s="8" t="str">
        <x:v>Required evidence</x:v>
      </x:c>
      <x:c r="J5" s="8" t="str">
        <x:v>Acceptance authority</x:v>
      </x:c>
      <x:c r="K5" s="8" t="str">
        <x:v>Review date</x:v>
      </x:c>
    </x:row>
    <x:row r="6" ht="40" customHeight="1">
      <x:c r="A6" s="10" t="str">
        <x:v>T01</x:v>
      </x:c>
      <x:c r="B6" s="10" t="str">
        <x:v>R01</x:v>
      </x:c>
      <x:c r="C6" s="10" t="str">
        <x:v>Modify</x:v>
      </x:c>
      <x:c r="D6" s="10" t="str">
        <x:v>Head of Support</x:v>
      </x:c>
      <x:c r="E6" s="10" t="str">
        <x:v>Remove stale access; connect leaver notifications to system-owner confirmation; test a second leaver sample.</x:v>
      </x:c>
      <x:c r="F6" s="14" t="n">
        <x:v>46286</x:v>
      </x:c>
      <x:c r="G6" s="10" t="str">
        <x:v>Sample corrected; recurring process planned</x:v>
      </x:c>
      <x:c r="H6" s="10" t="str">
        <x:v>A.5.18;A.6.5</x:v>
      </x:c>
      <x:c r="I6" s="10" t="str">
        <x:v>Full leaver reconciliation, revocation records and a repeat-cycle review.</x:v>
      </x:c>
      <x:c r="J6" s="10" t="str">
        <x:v>Risk owner; target acceptance pending evidence</x:v>
      </x:c>
      <x:c r="K6" s="14" t="n">
        <x:v>46362</x:v>
      </x:c>
    </x:row>
    <x:row r="7" ht="40" customHeight="1">
      <x:c r="A7" s="10" t="str">
        <x:v>T02</x:v>
      </x:c>
      <x:c r="B7" s="10" t="str">
        <x:v>R02</x:v>
      </x:c>
      <x:c r="C7" s="10" t="str">
        <x:v>Modify</x:v>
      </x:c>
      <x:c r="D7" s="10" t="str">
        <x:v>Platform Lead</x:v>
      </x:c>
      <x:c r="E7" s="10" t="str">
        <x:v>Review privileged accounts; require independent approval and strong MFA; retain and monitor necessary administration.</x:v>
      </x:c>
      <x:c r="F7" s="14" t="n">
        <x:v>46302</x:v>
      </x:c>
      <x:c r="G7" s="10" t="str">
        <x:v>Sample corrected; broader controls planned</x:v>
      </x:c>
      <x:c r="H7" s="10" t="str">
        <x:v>A.8.2;A.8.5;A.8.15</x:v>
      </x:c>
      <x:c r="I7" s="10" t="str">
        <x:v>Approved privileged list, MFA coverage, activity logs and a repeat review.</x:v>
      </x:c>
      <x:c r="J7" s="10" t="str">
        <x:v>Risk owner and CEO; target remains High, approval pending</x:v>
      </x:c>
      <x:c r="K7" s="14" t="n">
        <x:v>46362</x:v>
      </x:c>
    </x:row>
    <x:row r="8" ht="40" customHeight="1">
      <x:c r="A8" s="10" t="str">
        <x:v>T03</x:v>
      </x:c>
      <x:c r="B8" s="10" t="str">
        <x:v>R03</x:v>
      </x:c>
      <x:c r="C8" s="10" t="str">
        <x:v>Modify</x:v>
      </x:c>
      <x:c r="D8" s="10" t="str">
        <x:v>Head of Support</x:v>
      </x:c>
      <x:c r="E8" s="10" t="str">
        <x:v>Downgrade the sampled account; require a role-change access check and quarterly owner review.</x:v>
      </x:c>
      <x:c r="F8" s="14" t="n">
        <x:v>46286</x:v>
      </x:c>
      <x:c r="G8" s="10" t="str">
        <x:v>Sample corrected; recurring process planned</x:v>
      </x:c>
      <x:c r="H8" s="10" t="str">
        <x:v>A.5.18;A.8.2</x:v>
      </x:c>
      <x:c r="I8" s="10" t="str">
        <x:v>Role-change tickets, approved role matrix and review results.</x:v>
      </x:c>
      <x:c r="J8" s="10" t="str">
        <x:v>Risk owner; target acceptance pending evidence</x:v>
      </x:c>
      <x:c r="K8" s="14" t="n">
        <x:v>46362</x:v>
      </x:c>
    </x:row>
    <x:row r="9" ht="40" customHeight="1">
      <x:c r="A9" s="10" t="str">
        <x:v>T04</x:v>
      </x:c>
      <x:c r="B9" s="10" t="str">
        <x:v>R04</x:v>
      </x:c>
      <x:c r="C9" s="10" t="str">
        <x:v>Modify</x:v>
      </x:c>
      <x:c r="D9" s="10" t="str">
        <x:v>People and Operations Lead</x:v>
      </x:c>
      <x:c r="E9" s="10" t="str">
        <x:v>Verify managed-device encryption and lock settings; document loss reporting and session revocation; test one device.</x:v>
      </x:c>
      <x:c r="F9" s="14" t="n">
        <x:v>46317</x:v>
      </x:c>
      <x:c r="G9" s="10" t="str">
        <x:v>Planned</x:v>
      </x:c>
      <x:c r="H9" s="10" t="str">
        <x:v>A.8.1;A.7.9;A.6.3</x:v>
      </x:c>
      <x:c r="I9" s="10" t="str">
        <x:v>Device compliance export, training record and loss-response test.</x:v>
      </x:c>
      <x:c r="J9" s="10" t="str">
        <x:v>Risk owner; target acceptance pending evidence</x:v>
      </x:c>
      <x:c r="K9" s="14" t="n">
        <x:v>46362</x:v>
      </x:c>
    </x:row>
    <x:row r="10" ht="40" customHeight="1">
      <x:c r="A10" s="10" t="str">
        <x:v>T05</x:v>
      </x:c>
      <x:c r="B10" s="10" t="str">
        <x:v>R05</x:v>
      </x:c>
      <x:c r="C10" s="10" t="str">
        <x:v>Modify</x:v>
      </x:c>
      <x:c r="D10" s="10" t="str">
        <x:v>Platform Lead</x:v>
      </x:c>
      <x:c r="E10" s="10" t="str">
        <x:v>Set recovery targets; isolate a recovery copy; restore a sample and validate data integrity and elapsed time.</x:v>
      </x:c>
      <x:c r="F10" s="14" t="n">
        <x:v>46302</x:v>
      </x:c>
      <x:c r="G10" s="10" t="str">
        <x:v>Planned</x:v>
      </x:c>
      <x:c r="H10" s="10" t="str">
        <x:v>A.8.13;A.5.30</x:v>
      </x:c>
      <x:c r="I10" s="10" t="str">
        <x:v>Timed restore log, recovered-data checks and owner review against recovery targets.</x:v>
      </x:c>
      <x:c r="J10" s="10" t="str">
        <x:v>Risk owner; target acceptance pending evidence</x:v>
      </x:c>
      <x:c r="K10" s="14" t="n">
        <x:v>46362</x:v>
      </x:c>
    </x:row>
    <x:row r="11" ht="40" customHeight="1">
      <x:c r="A11" s="10" t="str">
        <x:v>T06</x:v>
      </x:c>
      <x:c r="B11" s="10" t="str">
        <x:v>R06</x:v>
      </x:c>
      <x:c r="C11" s="10" t="str">
        <x:v>Modify</x:v>
      </x:c>
      <x:c r="D11" s="10" t="str">
        <x:v>Platform Lead</x:v>
      </x:c>
      <x:c r="E11" s="10" t="str">
        <x:v>Review supplier resilience; design redundancy and a recovery runbook; exercise the recovery decision.</x:v>
      </x:c>
      <x:c r="F11" s="14" t="n">
        <x:v>46332</x:v>
      </x:c>
      <x:c r="G11" s="10" t="str">
        <x:v>Planned</x:v>
      </x:c>
      <x:c r="H11" s="10" t="str">
        <x:v>A.5.23;A.5.30;A.8.9</x:v>
      </x:c>
      <x:c r="I11" s="10" t="str">
        <x:v>Supplier resilience assessment and recovery exercise with timing.</x:v>
      </x:c>
      <x:c r="J11" s="10" t="str">
        <x:v>Risk owner; target acceptance pending evidence</x:v>
      </x:c>
      <x:c r="K11" s="14" t="n">
        <x:v>46362</x:v>
      </x:c>
    </x:row>
    <x:row r="12" ht="40" customHeight="1">
      <x:c r="A12" s="10" t="str">
        <x:v>T07</x:v>
      </x:c>
      <x:c r="B12" s="10" t="str">
        <x:v>R07</x:v>
      </x:c>
      <x:c r="C12" s="10" t="str">
        <x:v>Modify</x:v>
      </x:c>
      <x:c r="D12" s="10" t="str">
        <x:v>Head of Engineering</x:v>
      </x:c>
      <x:c r="E12" s="10" t="str">
        <x:v>Require peer approval, tenant-boundary tests, dependency checks and documented release rollback.</x:v>
      </x:c>
      <x:c r="F12" s="14" t="n">
        <x:v>46332</x:v>
      </x:c>
      <x:c r="G12" s="10" t="str">
        <x:v>Planned</x:v>
      </x:c>
      <x:c r="H12" s="10" t="str">
        <x:v>A.8.25;A.8.32</x:v>
      </x:c>
      <x:c r="I12" s="10" t="str">
        <x:v>Protected change workflow, failed-access tests, release approval and rollback record.</x:v>
      </x:c>
      <x:c r="J12" s="10" t="str">
        <x:v>Risk owner and CEO; target remains High, approval pending</x:v>
      </x:c>
      <x:c r="K12" s="14" t="n">
        <x:v>46362</x:v>
      </x:c>
    </x:row>
    <x:row r="13" ht="40" customHeight="1">
      <x:c r="A13" s="10" t="str">
        <x:v>T08</x:v>
      </x:c>
      <x:c r="B13" s="10" t="str">
        <x:v>R08</x:v>
      </x:c>
      <x:c r="C13" s="10" t="str">
        <x:v>Modify</x:v>
      </x:c>
      <x:c r="D13" s="10" t="str">
        <x:v>People and Operations Lead</x:v>
      </x:c>
      <x:c r="E13" s="10" t="str">
        <x:v>List data-processing suppliers; assess access, retention, incident notice and deletion commitments; record gaps.</x:v>
      </x:c>
      <x:c r="F13" s="14" t="n">
        <x:v>46317</x:v>
      </x:c>
      <x:c r="G13" s="10" t="str">
        <x:v>Planned</x:v>
      </x:c>
      <x:c r="H13" s="10" t="str">
        <x:v>A.5.19;A.5.23;A.5.34</x:v>
      </x:c>
      <x:c r="I13" s="10" t="str">
        <x:v>Supplier assessment, data-flow inventory and reviewed contractual commitments.</x:v>
      </x:c>
      <x:c r="J13" s="10" t="str">
        <x:v>Risk owner; target acceptance pending evidence</x:v>
      </x:c>
      <x:c r="K13" s="14" t="n">
        <x:v>46362</x:v>
      </x:c>
    </x:row>
    <x:row r="14" ht="40" customHeight="1">
      <x:c r="A14" s="10" t="str">
        <x:v>T09</x:v>
      </x:c>
      <x:c r="B14" s="10" t="str">
        <x:v>R09</x:v>
      </x:c>
      <x:c r="C14" s="10" t="str">
        <x:v>Modify</x:v>
      </x:c>
      <x:c r="D14" s="10" t="str">
        <x:v>Platform Lead</x:v>
      </x:c>
      <x:c r="E14" s="10" t="str">
        <x:v>Define incident roles and escalation; specify logging coverage; run an incident tabletop and preserve records.</x:v>
      </x:c>
      <x:c r="F14" s="14" t="n">
        <x:v>46317</x:v>
      </x:c>
      <x:c r="G14" s="10" t="str">
        <x:v>Planned</x:v>
      </x:c>
      <x:c r="H14" s="10" t="str">
        <x:v>A.5.24;A.5.26;A.8.15</x:v>
      </x:c>
      <x:c r="I14" s="10" t="str">
        <x:v>Incident playbook, log-coverage review and tabletop timeline.</x:v>
      </x:c>
      <x:c r="J14" s="10" t="str">
        <x:v>Risk owner; target acceptance pending evidence</x:v>
      </x:c>
      <x:c r="K14" s="14" t="n">
        <x:v>46362</x:v>
      </x:c>
    </x:row>
    <x:row r="15" ht="40" customHeight="1">
      <x:c r="A15" s="10" t="str">
        <x:v>T10</x:v>
      </x:c>
      <x:c r="B15" s="10" t="str">
        <x:v>R10</x:v>
      </x:c>
      <x:c r="C15" s="10" t="str">
        <x:v>Modify</x:v>
      </x:c>
      <x:c r="D15" s="10" t="str">
        <x:v>Platform Lead</x:v>
      </x:c>
      <x:c r="E15" s="10" t="str">
        <x:v>Inventory service credentials; reduce scope; rotate exposed or shared tokens; add secret scanning and response steps.</x:v>
      </x:c>
      <x:c r="F15" s="14" t="n">
        <x:v>46302</x:v>
      </x:c>
      <x:c r="G15" s="10" t="str">
        <x:v>Planned</x:v>
      </x:c>
      <x:c r="H15" s="10" t="str">
        <x:v>A.5.17;A.8.5;A.8.25</x:v>
      </x:c>
      <x:c r="I15" s="10" t="str">
        <x:v>Secret inventory without values, rotation record and scanner test using a harmless dummy token.</x:v>
      </x:c>
      <x:c r="J15" s="10" t="str">
        <x:v>Risk owner and CEO; target remains High, approval pending</x:v>
      </x:c>
      <x:c r="K15" s="14" t="n">
        <x:v>46362</x:v>
      </x:c>
    </x:row>
    <x:row r="16" ht="40" customHeight="1">
      <x:c r="A16" s="10" t="str">
        <x:v>T11</x:v>
      </x:c>
      <x:c r="B16" s="10" t="str">
        <x:v>R11</x:v>
      </x:c>
      <x:c r="C16" s="10" t="str">
        <x:v>Modify</x:v>
      </x:c>
      <x:c r="D16" s="10" t="str">
        <x:v>People and Operations Lead</x:v>
      </x:c>
      <x:c r="E16" s="10" t="str">
        <x:v>Review people-folder permissions and external links; define classification and handling instructions.</x:v>
      </x:c>
      <x:c r="F16" s="14" t="n">
        <x:v>46332</x:v>
      </x:c>
      <x:c r="G16" s="10" t="str">
        <x:v>Planned</x:v>
      </x:c>
      <x:c r="H16" s="10" t="str">
        <x:v>A.5.18;A.5.34;A.6.3</x:v>
      </x:c>
      <x:c r="I16" s="10" t="str">
        <x:v>Folder permission review, sharing configuration and handling briefing.</x:v>
      </x:c>
      <x:c r="J16" s="10" t="str">
        <x:v>Risk owner; target acceptance pending evidence</x:v>
      </x:c>
      <x:c r="K16" s="14" t="n">
        <x:v>46362</x:v>
      </x:c>
    </x:row>
    <x:row r="17" ht="40" customHeight="1">
      <x:c r="A17" s="10" t="str">
        <x:v>T12</x:v>
      </x:c>
      <x:c r="B17" s="10" t="str">
        <x:v>R12</x:v>
      </x:c>
      <x:c r="C17" s="10" t="str">
        <x:v>Accept</x:v>
      </x:c>
      <x:c r="D17" s="10" t="str">
        <x:v>Sales Lead</x:v>
      </x:c>
      <x:c r="E17" s="10" t="str">
        <x:v>Accept for this simulation; monitor host alerts; reconsider if customer login, forms or higher revenue dependency is added.</x:v>
      </x:c>
      <x:c r="F17" s="14" t="n">
        <x:v>46362</x:v>
      </x:c>
      <x:c r="G17" s="10" t="str">
        <x:v>Accepted in simulation</x:v>
      </x:c>
      <x:c r="H17" s="10" t="str">
        <x:v>A.5.23</x:v>
      </x:c>
      <x:c r="I17" s="10" t="str">
        <x:v>Owner acceptance record and scheduled review; no claimed new implementation.</x:v>
      </x:c>
      <x:c r="J17" s="10" t="str">
        <x:v>Sales Lead; simulated acceptance ACC-01</x:v>
      </x:c>
      <x:c r="K17" s="14" t="n">
        <x:v>46362</x:v>
      </x:c>
    </x:row>
  </x:sheetData>
  <x:pageMargins left="0.7" right="0.7" top="0.75" bottom="0.75" header="0.3" footer="0.3"/>
  <x:tableParts count="1">
    <x:tablePart xmlns:r="http://schemas.openxmlformats.org/officeDocument/2006/relationships" r:id="Re6d8fbbddbc34a0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32" hidden="0" customWidth="1"/>
    <x:col min="3" max="3" width="12" hidden="0" customWidth="1"/>
    <x:col min="4" max="4" width="62" hidden="0" customWidth="1"/>
    <x:col min="5" max="5" width="42" hidden="0" customWidth="1"/>
    <x:col min="6" max="6" width="28" hidden="0" customWidth="1"/>
    <x:col min="7" max="7" width="27" hidden="0" customWidth="1"/>
    <x:col min="8" max="8" width="72" hidden="0" customWidth="1"/>
    <x:col min="9" max="9" width="6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3" t="str">
        <x:v>Statement of Applicability extract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4" t="str">
        <x:v>21 selected controls. Omitted controls are not reviewed; descriptions are original summaries.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34" customHeight="1">
      <x:c r="A5" s="8" t="str">
        <x:v>Reference</x:v>
      </x:c>
      <x:c r="B5" s="8" t="str">
        <x:v>Original theme</x:v>
      </x:c>
      <x:c r="C5" s="8" t="str">
        <x:v>Applicable</x:v>
      </x:c>
      <x:c r="D5" s="8" t="str">
        <x:v>Case-specific justification</x:v>
      </x:c>
      <x:c r="E5" s="8" t="str">
        <x:v>Related risks</x:v>
      </x:c>
      <x:c r="F5" s="8" t="str">
        <x:v>Owner</x:v>
      </x:c>
      <x:c r="G5" s="8" t="str">
        <x:v>Status</x:v>
      </x:c>
      <x:c r="H5" s="8" t="str">
        <x:v>Evidence basis and limitation</x:v>
      </x:c>
      <x:c r="I5" s="8" t="str">
        <x:v>Evidence still needed</x:v>
      </x:c>
    </x:row>
    <x:row r="6" ht="40" customHeight="1">
      <x:c r="A6" s="10" t="str">
        <x:v>A.5.1</x:v>
      </x:c>
      <x:c r="B6" s="10" t="str">
        <x:v>Security direction</x:v>
      </x:c>
      <x:c r="C6" s="10" t="str">
        <x:v>Yes</x:v>
      </x:c>
      <x:c r="D6" s="10" t="str">
        <x:v>The company needs a documented policy and responsibilities to direct risk decisions.</x:v>
      </x:c>
      <x:c r="E6" s="10" t="str">
        <x:v>R01;R02;R03;R04;R05;R06;R07;R08;R09;R10;R11;R12</x:v>
      </x:c>
      <x:c r="F6" s="10" t="str">
        <x:v>CEO</x:v>
      </x:c>
      <x:c r="G6" s="10" t="str">
        <x:v>Draft designed</x:v>
      </x:c>
      <x:c r="H6" s="10" t="str">
        <x:v>Policy is drafted; no real approval or communication took place.</x:v>
      </x:c>
      <x:c r="I6" s="10" t="str">
        <x:v>Approved policy and staff acknowledgement.</x:v>
      </x:c>
    </x:row>
    <x:row r="7" ht="40" customHeight="1">
      <x:c r="A7" s="10" t="str">
        <x:v>A.5.9</x:v>
      </x:c>
      <x:c r="B7" s="10" t="str">
        <x:v>Asset accountability</x:v>
      </x:c>
      <x:c r="C7" s="10" t="str">
        <x:v>Yes</x:v>
      </x:c>
      <x:c r="D7" s="10" t="str">
        <x:v>Named asset owners are needed to evaluate information dependencies.</x:v>
      </x:c>
      <x:c r="E7" s="10" t="str">
        <x:v>R01;R02;R03;R04;R05;R06;R07;R08;R09;R10;R11;R12</x:v>
      </x:c>
      <x:c r="F7" s="10" t="str">
        <x:v>Platform Lead</x:v>
      </x:c>
      <x:c r="G7" s="10" t="str">
        <x:v>Draft designed</x:v>
      </x:c>
      <x:c r="H7" s="10" t="str">
        <x:v>Ten assets are inventoried in the case study; completeness is not operationally verified.</x:v>
      </x:c>
      <x:c r="I7" s="10" t="str">
        <x:v>Validated asset inventory with owner review.</x:v>
      </x:c>
    </x:row>
    <x:row r="8" ht="40" customHeight="1">
      <x:c r="A8" s="10" t="str">
        <x:v>A.5.17</x:v>
      </x:c>
      <x:c r="B8" s="10" t="str">
        <x:v>Credential handling</x:v>
      </x:c>
      <x:c r="C8" s="10" t="str">
        <x:v>Yes</x:v>
      </x:c>
      <x:c r="D8" s="10" t="str">
        <x:v>Service credentials can expose production if copied or left shared.</x:v>
      </x:c>
      <x:c r="E8" s="10" t="str">
        <x:v>R10</x:v>
      </x:c>
      <x:c r="F8" s="10" t="str">
        <x:v>Platform Lead</x:v>
      </x:c>
      <x:c r="G8" s="10" t="str">
        <x:v>Planned</x:v>
      </x:c>
      <x:c r="H8" s="10" t="str">
        <x:v>Secrets inventory and rotation evidence are absent.</x:v>
      </x:c>
      <x:c r="I8" s="10" t="str">
        <x:v>Credential lifecycle procedure, scoped access and rotation logs.</x:v>
      </x:c>
    </x:row>
    <x:row r="9" ht="40" customHeight="1">
      <x:c r="A9" s="10" t="str">
        <x:v>A.5.18</x:v>
      </x:c>
      <x:c r="B9" s="10" t="str">
        <x:v>Permission lifecycle and review</x:v>
      </x:c>
      <x:c r="C9" s="10" t="str">
        <x:v>Yes</x:v>
      </x:c>
      <x:c r="D9" s="10" t="str">
        <x:v>Leavers, role changes and shared folders require permission decisions.</x:v>
      </x:c>
      <x:c r="E9" s="10" t="str">
        <x:v>R01;R03;R11</x:v>
      </x:c>
      <x:c r="F9" s="10" t="str">
        <x:v>Head of Support</x:v>
      </x:c>
      <x:c r="G9" s="10" t="str">
        <x:v>Demonstrated in sample</x:v>
      </x:c>
      <x:c r="H9" s="10" t="str">
        <x:v>Synthetic access review completed; recurring and organization-wide operation is unverified.</x:v>
      </x:c>
      <x:c r="I9" s="10" t="str">
        <x:v>Approval, review and revocation records across all relevant systems.</x:v>
      </x:c>
    </x:row>
    <x:row r="10" ht="40" customHeight="1">
      <x:c r="A10" s="10" t="str">
        <x:v>A.5.19</x:v>
      </x:c>
      <x:c r="B10" s="10" t="str">
        <x:v>Supplier security oversight</x:v>
      </x:c>
      <x:c r="C10" s="10" t="str">
        <x:v>Yes</x:v>
      </x:c>
      <x:c r="D10" s="10" t="str">
        <x:v>Data handling suppliers require assessed security expectations.</x:v>
      </x:c>
      <x:c r="E10" s="10" t="str">
        <x:v>R08</x:v>
      </x:c>
      <x:c r="F10" s="10" t="str">
        <x:v>People and Operations Lead</x:v>
      </x:c>
      <x:c r="G10" s="10" t="str">
        <x:v>Planned</x:v>
      </x:c>
      <x:c r="H10" s="10" t="str">
        <x:v>Supplier assessments and reviewed terms are absent.</x:v>
      </x:c>
      <x:c r="I10" s="10" t="str">
        <x:v>Supplier risk review and agreed handling conditions.</x:v>
      </x:c>
    </x:row>
    <x:row r="11" ht="40" customHeight="1">
      <x:c r="A11" s="10" t="str">
        <x:v>A.5.23</x:v>
      </x:c>
      <x:c r="B11" s="10" t="str">
        <x:v>Cloud service governance</x:v>
      </x:c>
      <x:c r="C11" s="10" t="str">
        <x:v>Yes</x:v>
      </x:c>
      <x:c r="D11" s="10" t="str">
        <x:v>Cloud use creates service and data dependencies even when operation is outsourced.</x:v>
      </x:c>
      <x:c r="E11" s="10" t="str">
        <x:v>R06;R08;R12</x:v>
      </x:c>
      <x:c r="F11" s="10" t="str">
        <x:v>Platform Lead</x:v>
      </x:c>
      <x:c r="G11" s="10" t="str">
        <x:v>Planned</x:v>
      </x:c>
      <x:c r="H11" s="10" t="str">
        <x:v>Cloud responsibility and exit reviews are absent.</x:v>
      </x:c>
      <x:c r="I11" s="10" t="str">
        <x:v>Cloud responsibility matrix, service review and exit plan.</x:v>
      </x:c>
    </x:row>
    <x:row r="12" ht="34" customHeight="1">
      <x:c r="A12" s="10" t="str">
        <x:v>A.5.24</x:v>
      </x:c>
      <x:c r="B12" s="10" t="str">
        <x:v>Incident preparation</x:v>
      </x:c>
      <x:c r="C12" s="10" t="str">
        <x:v>Yes</x:v>
      </x:c>
      <x:c r="D12" s="10" t="str">
        <x:v>Ad hoc reporting needs a defined escalation path.</x:v>
      </x:c>
      <x:c r="E12" s="10" t="str">
        <x:v>R09</x:v>
      </x:c>
      <x:c r="F12" s="10" t="str">
        <x:v>Platform Lead</x:v>
      </x:c>
      <x:c r="G12" s="10" t="str">
        <x:v>Planned</x:v>
      </x:c>
      <x:c r="H12" s="10" t="str">
        <x:v>Incident procedure and tabletop evidence are absent.</x:v>
      </x:c>
      <x:c r="I12" s="10" t="str">
        <x:v>Incident roles, escalation criteria and exercise records.</x:v>
      </x:c>
    </x:row>
    <x:row r="13" ht="40" customHeight="1">
      <x:c r="A13" s="10" t="str">
        <x:v>A.5.26</x:v>
      </x:c>
      <x:c r="B13" s="10" t="str">
        <x:v>Incident handling</x:v>
      </x:c>
      <x:c r="C13" s="10" t="str">
        <x:v>Yes</x:v>
      </x:c>
      <x:c r="D13" s="10" t="str">
        <x:v>Containment and recovery decisions must be timely and recorded.</x:v>
      </x:c>
      <x:c r="E13" s="10" t="str">
        <x:v>R09</x:v>
      </x:c>
      <x:c r="F13" s="10" t="str">
        <x:v>Platform Lead</x:v>
      </x:c>
      <x:c r="G13" s="10" t="str">
        <x:v>Planned</x:v>
      </x:c>
      <x:c r="H13" s="10" t="str">
        <x:v>No incident-response exercise has been performed.</x:v>
      </x:c>
      <x:c r="I13" s="10" t="str">
        <x:v>Investigation timeline, containment decisions and recovery review.</x:v>
      </x:c>
    </x:row>
    <x:row r="14" ht="40" customHeight="1">
      <x:c r="A14" s="10" t="str">
        <x:v>A.5.30</x:v>
      </x:c>
      <x:c r="B14" s="10" t="str">
        <x:v>ICT recovery readiness</x:v>
      </x:c>
      <x:c r="C14" s="10" t="str">
        <x:v>Yes</x:v>
      </x:c>
      <x:c r="D14" s="10" t="str">
        <x:v>Service and data recovery need tested business-driven targets.</x:v>
      </x:c>
      <x:c r="E14" s="10" t="str">
        <x:v>R05;R06</x:v>
      </x:c>
      <x:c r="F14" s="10" t="str">
        <x:v>Platform Lead</x:v>
      </x:c>
      <x:c r="G14" s="10" t="str">
        <x:v>Planned</x:v>
      </x:c>
      <x:c r="H14" s="10" t="str">
        <x:v>Recovery arrangements have not been exercised.</x:v>
      </x:c>
      <x:c r="I14" s="10" t="str">
        <x:v>Approved recovery targets and timed exercise results.</x:v>
      </x:c>
    </x:row>
    <x:row r="15" ht="40" customHeight="1">
      <x:c r="A15" s="10" t="str">
        <x:v>A.5.34</x:v>
      </x:c>
      <x:c r="B15" s="10" t="str">
        <x:v>Personal information handling</x:v>
      </x:c>
      <x:c r="C15" s="10" t="str">
        <x:v>Yes</x:v>
      </x:c>
      <x:c r="D15" s="10" t="str">
        <x:v>Tickets and people records contain personal information.</x:v>
      </x:c>
      <x:c r="E15" s="10" t="str">
        <x:v>R08;R11</x:v>
      </x:c>
      <x:c r="F15" s="10" t="str">
        <x:v>People and Operations Lead</x:v>
      </x:c>
      <x:c r="G15" s="10" t="str">
        <x:v>Planned</x:v>
      </x:c>
      <x:c r="H15" s="10" t="str">
        <x:v>Jurisdiction and binding obligations require future validation.</x:v>
      </x:c>
      <x:c r="I15" s="10" t="str">
        <x:v>Verified obligations register and data-handling rules.</x:v>
      </x:c>
    </x:row>
    <x:row r="16" ht="40" customHeight="1">
      <x:c r="A16" s="10" t="str">
        <x:v>A.6.3</x:v>
      </x:c>
      <x:c r="B16" s="10" t="str">
        <x:v>Security learning</x:v>
      </x:c>
      <x:c r="C16" s="10" t="str">
        <x:v>Yes</x:v>
      </x:c>
      <x:c r="D16" s="10" t="str">
        <x:v>Staff must understand loss reporting and safe information sharing.</x:v>
      </x:c>
      <x:c r="E16" s="10" t="str">
        <x:v>R04;R11</x:v>
      </x:c>
      <x:c r="F16" s="10" t="str">
        <x:v>People and Operations Lead</x:v>
      </x:c>
      <x:c r="G16" s="10" t="str">
        <x:v>Planned</x:v>
      </x:c>
      <x:c r="H16" s="10" t="str">
        <x:v>The portfolio learning guide is not company staff-training evidence.</x:v>
      </x:c>
      <x:c r="I16" s="10" t="str">
        <x:v>Role-based training attendance and understanding checks.</x:v>
      </x:c>
    </x:row>
    <x:row r="17" ht="40" customHeight="1">
      <x:c r="A17" s="10" t="str">
        <x:v>A.6.5</x:v>
      </x:c>
      <x:c r="B17" s="10" t="str">
        <x:v>Changes and departures</x:v>
      </x:c>
      <x:c r="C17" s="10" t="str">
        <x:v>Yes</x:v>
      </x:c>
      <x:c r="D17" s="10" t="str">
        <x:v>Employment changes must trigger updated access and responsibilities.</x:v>
      </x:c>
      <x:c r="E17" s="10" t="str">
        <x:v>R01</x:v>
      </x:c>
      <x:c r="F17" s="10" t="str">
        <x:v>People and Operations Lead</x:v>
      </x:c>
      <x:c r="G17" s="10" t="str">
        <x:v>Demonstrated in sample</x:v>
      </x:c>
      <x:c r="H17" s="10" t="str">
        <x:v>One departed account was corrected in synthetic records; end-to-end HR operation remains planned.</x:v>
      </x:c>
      <x:c r="I17" s="10" t="str">
        <x:v>HR trigger, system-owner confirmation and recurring reconciliation.</x:v>
      </x:c>
    </x:row>
    <x:row r="18" ht="40" customHeight="1">
      <x:c r="A18" s="10" t="str">
        <x:v>A.7.9</x:v>
      </x:c>
      <x:c r="B18" s="10" t="str">
        <x:v>Offsite asset protection</x:v>
      </x:c>
      <x:c r="C18" s="10" t="str">
        <x:v>Yes</x:v>
      </x:c>
      <x:c r="D18" s="10" t="str">
        <x:v>Remote employees use company devices outside company premises.</x:v>
      </x:c>
      <x:c r="E18" s="10" t="str">
        <x:v>R04</x:v>
      </x:c>
      <x:c r="F18" s="10" t="str">
        <x:v>People and Operations Lead</x:v>
      </x:c>
      <x:c r="G18" s="10" t="str">
        <x:v>Planned</x:v>
      </x:c>
      <x:c r="H18" s="10" t="str">
        <x:v>Home-working device protection is assumed, not evidenced.</x:v>
      </x:c>
      <x:c r="I18" s="10" t="str">
        <x:v>Offsite handling instructions and device accountability.</x:v>
      </x:c>
    </x:row>
    <x:row r="19" ht="34" customHeight="1">
      <x:c r="A19" s="10" t="str">
        <x:v>A.8.1</x:v>
      </x:c>
      <x:c r="B19" s="10" t="str">
        <x:v>Workstation protection</x:v>
      </x:c>
      <x:c r="C19" s="10" t="str">
        <x:v>Yes</x:v>
      </x:c>
      <x:c r="D19" s="10" t="str">
        <x:v>Laptops can expose work sessions and stored information.</x:v>
      </x:c>
      <x:c r="E19" s="10" t="str">
        <x:v>R04</x:v>
      </x:c>
      <x:c r="F19" s="10" t="str">
        <x:v>Platform Lead</x:v>
      </x:c>
      <x:c r="G19" s="10" t="str">
        <x:v>Planned</x:v>
      </x:c>
      <x:c r="H19" s="10" t="str">
        <x:v>Encryption and management coverage are unverified.</x:v>
      </x:c>
      <x:c r="I19" s="10" t="str">
        <x:v>Device configuration and compliance reports.</x:v>
      </x:c>
    </x:row>
    <x:row r="20" ht="40" customHeight="1">
      <x:c r="A20" s="10" t="str">
        <x:v>A.8.2</x:v>
      </x:c>
      <x:c r="B20" s="10" t="str">
        <x:v>Privileged permission control</x:v>
      </x:c>
      <x:c r="C20" s="10" t="str">
        <x:v>Yes</x:v>
      </x:c>
      <x:c r="D20" s="10" t="str">
        <x:v>Powerful permissions must be justified and independently approved.</x:v>
      </x:c>
      <x:c r="E20" s="10" t="str">
        <x:v>R02;R03</x:v>
      </x:c>
      <x:c r="F20" s="10" t="str">
        <x:v>Platform Lead</x:v>
      </x:c>
      <x:c r="G20" s="10" t="str">
        <x:v>Demonstrated in sample</x:v>
      </x:c>
      <x:c r="H20" s="10" t="str">
        <x:v>One unnecessary admin role removed; one approved cloud admin retained in synthetic records.</x:v>
      </x:c>
      <x:c r="I20" s="10" t="str">
        <x:v>Privileged approvals, least-privilege review and activity monitoring.</x:v>
      </x:c>
    </x:row>
    <x:row r="21" ht="34" customHeight="1">
      <x:c r="A21" s="10" t="str">
        <x:v>A.8.5</x:v>
      </x:c>
      <x:c r="B21" s="10" t="str">
        <x:v>Authentication safeguards</x:v>
      </x:c>
      <x:c r="C21" s="10" t="str">
        <x:v>Yes</x:v>
      </x:c>
      <x:c r="D21" s="10" t="str">
        <x:v>Human and service identities protect sensitive systems.</x:v>
      </x:c>
      <x:c r="E21" s="10" t="str">
        <x:v>R02;R10</x:v>
      </x:c>
      <x:c r="F21" s="10" t="str">
        <x:v>Platform Lead</x:v>
      </x:c>
      <x:c r="G21" s="10" t="str">
        <x:v>Planned</x:v>
      </x:c>
      <x:c r="H21" s="10" t="str">
        <x:v>MFA coverage and service authentication are not technically tested.</x:v>
      </x:c>
      <x:c r="I21" s="10" t="str">
        <x:v>Authentication settings, coverage report and test results.</x:v>
      </x:c>
    </x:row>
    <x:row r="22" ht="40" customHeight="1">
      <x:c r="A22" s="10" t="str">
        <x:v>A.8.9</x:v>
      </x:c>
      <x:c r="B22" s="10" t="str">
        <x:v>Configuration discipline</x:v>
      </x:c>
      <x:c r="C22" s="10" t="str">
        <x:v>Yes</x:v>
      </x:c>
      <x:c r="D22" s="10" t="str">
        <x:v>Reliable cloud settings support resilience and prevent unintended changes.</x:v>
      </x:c>
      <x:c r="E22" s="10" t="str">
        <x:v>R06</x:v>
      </x:c>
      <x:c r="F22" s="10" t="str">
        <x:v>Platform Lead</x:v>
      </x:c>
      <x:c r="G22" s="10" t="str">
        <x:v>Planned</x:v>
      </x:c>
      <x:c r="H22" s="10" t="str">
        <x:v>A configuration baseline is not evidenced.</x:v>
      </x:c>
      <x:c r="I22" s="10" t="str">
        <x:v>Approved baseline, drift review and change records.</x:v>
      </x:c>
    </x:row>
    <x:row r="23" ht="40" customHeight="1">
      <x:c r="A23" s="10" t="str">
        <x:v>A.8.13</x:v>
      </x:c>
      <x:c r="B23" s="10" t="str">
        <x:v>Recoverable backups</x:v>
      </x:c>
      <x:c r="C23" s="10" t="str">
        <x:v>Yes</x:v>
      </x:c>
      <x:c r="D23" s="10" t="str">
        <x:v>Ticket recovery requires more than a successful scheduled backup job.</x:v>
      </x:c>
      <x:c r="E23" s="10" t="str">
        <x:v>R05</x:v>
      </x:c>
      <x:c r="F23" s="10" t="str">
        <x:v>Platform Lead</x:v>
      </x:c>
      <x:c r="G23" s="10" t="str">
        <x:v>Planned</x:v>
      </x:c>
      <x:c r="H23" s="10" t="str">
        <x:v>No restore has been run in this portfolio.</x:v>
      </x:c>
      <x:c r="I23" s="10" t="str">
        <x:v>Backup results, isolated copy and integrity-checked restore.</x:v>
      </x:c>
    </x:row>
    <x:row r="24" ht="34" customHeight="1">
      <x:c r="A24" s="10" t="str">
        <x:v>A.8.15</x:v>
      </x:c>
      <x:c r="B24" s="10" t="str">
        <x:v>Security event records</x:v>
      </x:c>
      <x:c r="C24" s="10" t="str">
        <x:v>Yes</x:v>
      </x:c>
      <x:c r="D24" s="10" t="str">
        <x:v>Privileged changes and incidents need usable records.</x:v>
      </x:c>
      <x:c r="E24" s="10" t="str">
        <x:v>R02;R09</x:v>
      </x:c>
      <x:c r="F24" s="10" t="str">
        <x:v>Platform Lead</x:v>
      </x:c>
      <x:c r="G24" s="10" t="str">
        <x:v>Planned</x:v>
      </x:c>
      <x:c r="H24" s="10" t="str">
        <x:v>Log coverage, retention and review are not demonstrated.</x:v>
      </x:c>
      <x:c r="I24" s="10" t="str">
        <x:v>Log coverage matrix, protected records and review evidence.</x:v>
      </x:c>
    </x:row>
    <x:row r="25" ht="40" customHeight="1">
      <x:c r="A25" s="10" t="str">
        <x:v>A.8.25</x:v>
      </x:c>
      <x:c r="B25" s="10" t="str">
        <x:v>Secure development lifecycle</x:v>
      </x:c>
      <x:c r="C25" s="10" t="str">
        <x:v>Yes</x:v>
      </x:c>
      <x:c r="D25" s="10" t="str">
        <x:v>Tenant isolation and build credentials need security throughout development.</x:v>
      </x:c>
      <x:c r="E25" s="10" t="str">
        <x:v>R07;R10</x:v>
      </x:c>
      <x:c r="F25" s="10" t="str">
        <x:v>Head of Engineering</x:v>
      </x:c>
      <x:c r="G25" s="10" t="str">
        <x:v>Planned</x:v>
      </x:c>
      <x:c r="H25" s="10" t="str">
        <x:v>Security requirements and checks are proposed.</x:v>
      </x:c>
      <x:c r="I25" s="10" t="str">
        <x:v>Security acceptance criteria and tests across the development lifecycle.</x:v>
      </x:c>
    </x:row>
    <x:row r="26" ht="34" customHeight="1">
      <x:c r="A26" s="10" t="str">
        <x:v>A.8.32</x:v>
      </x:c>
      <x:c r="B26" s="10" t="str">
        <x:v>Controlled releases</x:v>
      </x:c>
      <x:c r="C26" s="10" t="str">
        <x:v>Yes</x:v>
      </x:c>
      <x:c r="D26" s="10" t="str">
        <x:v>Production changes require review and recoverability.</x:v>
      </x:c>
      <x:c r="E26" s="10" t="str">
        <x:v>R07</x:v>
      </x:c>
      <x:c r="F26" s="10" t="str">
        <x:v>Head of Engineering</x:v>
      </x:c>
      <x:c r="G26" s="10" t="str">
        <x:v>Planned</x:v>
      </x:c>
      <x:c r="H26" s="10" t="str">
        <x:v>Release and rollback evidence are not present.</x:v>
      </x:c>
      <x:c r="I26" s="10" t="str">
        <x:v>Approved change, test outcome and rollback record.</x:v>
      </x:c>
    </x:row>
  </x:sheetData>
  <x:pageMargins left="0.7" right="0.7" top="0.75" bottom="0.75" header="0.3" footer="0.3"/>
  <x:tableParts count="1">
    <x:tablePart xmlns:r="http://schemas.openxmlformats.org/officeDocument/2006/relationships" r:id="Re524a4cb8789415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42" hidden="0" customWidth="1"/>
    <x:col min="3" max="3" width="28" hidden="0" customWidth="1"/>
    <x:col min="4" max="4" width="18" hidden="0" customWidth="1"/>
    <x:col min="5" max="5" width="38" hidden="0" customWidth="1"/>
    <x:col min="6" max="6" width="15" hidden="0" customWidth="1"/>
    <x:col min="7" max="7" width="70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Asset inventory</x:v>
      </x:c>
      <x:c r="B2" s="2"/>
      <x:c r="C2" s="2"/>
      <x:c r="D2" s="2"/>
      <x:c r="E2" s="2"/>
      <x:c r="F2" s="2"/>
      <x:c r="G2" s="2"/>
    </x:row>
    <x:row r="3">
      <x:c r="A3" s="4" t="str">
        <x:v>Source: fictional CaseCo Cloud scenario. C = confidentiality; I = integrity; A = availability.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34" customHeight="1">
      <x:c r="A5" s="8" t="str">
        <x:v>Asset ID</x:v>
      </x:c>
      <x:c r="B5" s="8" t="str">
        <x:v>Asset</x:v>
      </x:c>
      <x:c r="C5" s="8" t="str">
        <x:v>Owner</x:v>
      </x:c>
      <x:c r="D5" s="8" t="str">
        <x:v>Classification</x:v>
      </x:c>
      <x:c r="E5" s="8" t="str">
        <x:v>Location</x:v>
      </x:c>
      <x:c r="F5" s="8" t="str">
        <x:v>Security needs</x:v>
      </x:c>
      <x:c r="G5" s="8" t="str">
        <x:v>Business significance</x:v>
      </x:c>
    </x:row>
    <x:row r="6" ht="40" customHeight="1">
      <x:c r="A6" s="10" t="str">
        <x:v>A01</x:v>
      </x:c>
      <x:c r="B6" s="10" t="str">
        <x:v>Customer ticket database</x:v>
      </x:c>
      <x:c r="C6" s="10" t="str">
        <x:v>Head of Support</x:v>
      </x:c>
      <x:c r="D6" s="10" t="str">
        <x:v>Restricted</x:v>
      </x:c>
      <x:c r="E6" s="10" t="str">
        <x:v>Managed cloud database</x:v>
      </x:c>
      <x:c r="F6" s="10" t="str">
        <x:v>C/I/A</x:v>
      </x:c>
      <x:c r="G6" s="10" t="str">
        <x:v>Ticket text, attachments and contact details drive customer service; exposure crosses customer boundaries.</x:v>
      </x:c>
    </x:row>
    <x:row r="7" ht="40" customHeight="1">
      <x:c r="A7" s="10" t="str">
        <x:v>A02</x:v>
      </x:c>
      <x:c r="B7" s="10" t="str">
        <x:v>Support application</x:v>
      </x:c>
      <x:c r="C7" s="10" t="str">
        <x:v>Head of Engineering</x:v>
      </x:c>
      <x:c r="D7" s="10" t="str">
        <x:v>Confidential</x:v>
      </x:c>
      <x:c r="E7" s="10" t="str">
        <x:v>Cloud application service</x:v>
      </x:c>
      <x:c r="F7" s="10" t="str">
        <x:v>C/I/A</x:v>
      </x:c>
      <x:c r="G7" s="10" t="str">
        <x:v>The application enforces tenant access and presents customer tickets to authorized users.</x:v>
      </x:c>
    </x:row>
    <x:row r="8" ht="40" customHeight="1">
      <x:c r="A8" s="10" t="str">
        <x:v>A03</x:v>
      </x:c>
      <x:c r="B8" s="10" t="str">
        <x:v>Production cloud environment</x:v>
      </x:c>
      <x:c r="C8" s="10" t="str">
        <x:v>Platform Lead</x:v>
      </x:c>
      <x:c r="D8" s="10" t="str">
        <x:v>Restricted</x:v>
      </x:c>
      <x:c r="E8" s="10" t="str">
        <x:v>Cloud provider account</x:v>
      </x:c>
      <x:c r="F8" s="10" t="str">
        <x:v>I/A</x:v>
      </x:c>
      <x:c r="G8" s="10" t="str">
        <x:v>Cloud configuration, networking and runtime permissions control the service availability and security.</x:v>
      </x:c>
    </x:row>
    <x:row r="9" ht="40" customHeight="1">
      <x:c r="A9" s="10" t="str">
        <x:v>A04</x:v>
      </x:c>
      <x:c r="B9" s="10" t="str">
        <x:v>Identity and entitlement records</x:v>
      </x:c>
      <x:c r="C9" s="10" t="str">
        <x:v>Platform Lead</x:v>
      </x:c>
      <x:c r="D9" s="10" t="str">
        <x:v>Restricted</x:v>
      </x:c>
      <x:c r="E9" s="10" t="str">
        <x:v>Identity service and system access lists</x:v>
      </x:c>
      <x:c r="F9" s="10" t="str">
        <x:v>C/I</x:v>
      </x:c>
      <x:c r="G9" s="10" t="str">
        <x:v>Identities, group membership and approvals determine who can access company information.</x:v>
      </x:c>
    </x:row>
    <x:row r="10" ht="40" customHeight="1">
      <x:c r="A10" s="10" t="str">
        <x:v>A05</x:v>
      </x:c>
      <x:c r="B10" s="10" t="str">
        <x:v>Source repositories and build pipeline</x:v>
      </x:c>
      <x:c r="C10" s="10" t="str">
        <x:v>Head of Engineering</x:v>
      </x:c>
      <x:c r="D10" s="10" t="str">
        <x:v>Confidential</x:v>
      </x:c>
      <x:c r="E10" s="10" t="str">
        <x:v>Source-hosting supplier</x:v>
      </x:c>
      <x:c r="F10" s="10" t="str">
        <x:v>I/A</x:v>
      </x:c>
      <x:c r="G10" s="10" t="str">
        <x:v>Code and release workflows determine the integrity of software shipped to customers.</x:v>
      </x:c>
    </x:row>
    <x:row r="11" ht="40" customHeight="1">
      <x:c r="A11" s="10" t="str">
        <x:v>A06</x:v>
      </x:c>
      <x:c r="B11" s="10" t="str">
        <x:v>Service credentials and signing secrets</x:v>
      </x:c>
      <x:c r="C11" s="10" t="str">
        <x:v>Platform Lead</x:v>
      </x:c>
      <x:c r="D11" s="10" t="str">
        <x:v>Restricted</x:v>
      </x:c>
      <x:c r="E11" s="10" t="str">
        <x:v>Secrets store and build environment</x:v>
      </x:c>
      <x:c r="F11" s="10" t="str">
        <x:v>C/I</x:v>
      </x:c>
      <x:c r="G11" s="10" t="str">
        <x:v>Credential theft could permit production access or unauthorized releases.</x:v>
      </x:c>
    </x:row>
    <x:row r="12" ht="40" customHeight="1">
      <x:c r="A12" s="10" t="str">
        <x:v>A07</x:v>
      </x:c>
      <x:c r="B12" s="10" t="str">
        <x:v>Database backups</x:v>
      </x:c>
      <x:c r="C12" s="10" t="str">
        <x:v>Platform Lead</x:v>
      </x:c>
      <x:c r="D12" s="10" t="str">
        <x:v>Restricted</x:v>
      </x:c>
      <x:c r="E12" s="10" t="str">
        <x:v>Cloud backup storage</x:v>
      </x:c>
      <x:c r="F12" s="10" t="str">
        <x:v>C/I/A</x:v>
      </x:c>
      <x:c r="G12" s="10" t="str">
        <x:v>Backups contain customer information and are needed to recover service after loss or corruption.</x:v>
      </x:c>
    </x:row>
    <x:row r="13" ht="40" customHeight="1">
      <x:c r="A13" s="10" t="str">
        <x:v>A08</x:v>
      </x:c>
      <x:c r="B13" s="10" t="str">
        <x:v>Employee laptops</x:v>
      </x:c>
      <x:c r="C13" s="10" t="str">
        <x:v>People and Operations Lead</x:v>
      </x:c>
      <x:c r="D13" s="10" t="str">
        <x:v>Confidential</x:v>
      </x:c>
      <x:c r="E13" s="10" t="str">
        <x:v>Employee home workspaces</x:v>
      </x:c>
      <x:c r="F13" s="10" t="str">
        <x:v>C/I</x:v>
      </x:c>
      <x:c r="G13" s="10" t="str">
        <x:v>Devices hold work sessions and limited local information and can become an entry point.</x:v>
      </x:c>
    </x:row>
    <x:row r="14" ht="40" customHeight="1">
      <x:c r="A14" s="10" t="str">
        <x:v>A09</x:v>
      </x:c>
      <x:c r="B14" s="10" t="str">
        <x:v>People and commercial records</x:v>
      </x:c>
      <x:c r="C14" s="10" t="str">
        <x:v>People and Operations Lead</x:v>
      </x:c>
      <x:c r="D14" s="10" t="str">
        <x:v>Restricted</x:v>
      </x:c>
      <x:c r="E14" s="10" t="str">
        <x:v>Business document service</x:v>
      </x:c>
      <x:c r="F14" s="10" t="str">
        <x:v>C/I</x:v>
      </x:c>
      <x:c r="G14" s="10" t="str">
        <x:v>Employment records, agreements and customer commitments require controlled handling.</x:v>
      </x:c>
    </x:row>
    <x:row r="15" ht="40" customHeight="1">
      <x:c r="A15" s="10" t="str">
        <x:v>A10</x:v>
      </x:c>
      <x:c r="B15" s="10" t="str">
        <x:v>Public marketing website</x:v>
      </x:c>
      <x:c r="C15" s="10" t="str">
        <x:v>Sales Lead</x:v>
      </x:c>
      <x:c r="D15" s="10" t="str">
        <x:v>Public</x:v>
      </x:c>
      <x:c r="E15" s="10" t="str">
        <x:v>Separate website host</x:v>
      </x:c>
      <x:c r="F15" s="10" t="str">
        <x:v>I/A</x:v>
      </x:c>
      <x:c r="G15" s="10" t="str">
        <x:v>A static brochure site supports inbound sales; it holds no logins, tickets, payment data or lead forms.</x:v>
      </x:c>
    </x:row>
  </x:sheetData>
  <x:pageMargins left="0.7" right="0.7" top="0.75" bottom="0.75" header="0.3" footer="0.3"/>
  <x:tableParts count="1">
    <x:tablePart xmlns:r="http://schemas.openxmlformats.org/officeDocument/2006/relationships" r:id="Redc8b5951f434c3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28" hidden="0" customWidth="1"/>
    <x:col min="5" max="5" width="16" hidden="0" customWidth="1"/>
    <x:col min="6" max="6" width="68" hidden="0" customWidth="1"/>
    <x:col min="7" max="7" width="12" hidden="0" customWidth="1"/>
    <x:col min="8" max="8" width="15" hidden="0" customWidth="1"/>
    <x:col min="9" max="9" width="42" hidden="0" customWidth="1"/>
    <x:col min="10" max="10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Completed access review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4" t="str">
        <x:v>REV-01. All 27 supplied assignments reviewed; all records and dates are synthetic.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4" customHeight="1">
      <x:c r="A5" s="8" t="str">
        <x:v>Access ID</x:v>
      </x:c>
      <x:c r="B5" s="8" t="str">
        <x:v>Person</x:v>
      </x:c>
      <x:c r="C5" s="8" t="str">
        <x:v>System</x:v>
      </x:c>
      <x:c r="D5" s="8" t="str">
        <x:v>Finding</x:v>
      </x:c>
      <x:c r="E5" s="8" t="str">
        <x:v>Decision</x:v>
      </x:c>
      <x:c r="F5" s="8" t="str">
        <x:v>Decision rationale</x:v>
      </x:c>
      <x:c r="G5" s="8" t="str">
        <x:v>Action</x:v>
      </x:c>
      <x:c r="H5" s="8" t="str">
        <x:v>Review date</x:v>
      </x:c>
      <x:c r="I5" s="8" t="str">
        <x:v>Follow-up result</x:v>
      </x:c>
      <x:c r="J5" s="8" t="str">
        <x:v>Follow-up date</x:v>
      </x:c>
    </x:row>
    <x:row r="6" ht="34" customHeight="1">
      <x:c r="A6" s="10" t="str">
        <x:v>AR001</x:v>
      </x:c>
      <x:c r="B6" s="10" t="str">
        <x:v>E001</x:v>
      </x:c>
      <x:c r="C6" s="10" t="str">
        <x:v>SourceHub</x:v>
      </x:c>
      <x:c r="D6" s="10" t="str">
        <x:v>None</x:v>
      </x:c>
      <x:c r="E6" s="10" t="str">
        <x:v>Retain</x:v>
      </x:c>
      <x:c r="F6" s="10" t="str">
        <x:v>Active employee; observed role matches current manager approval.</x:v>
      </x:c>
      <x:c r="G6" s="10" t="str"/>
      <x:c r="H6" s="14" t="n">
        <x:v>46266</x:v>
      </x:c>
      <x:c r="I6" s="10" t="str">
        <x:v>Confirmed in revised synthetic snapshot</x:v>
      </x:c>
      <x:c r="J6" s="14" t="n">
        <x:v>46268</x:v>
      </x:c>
    </x:row>
    <x:row r="7" ht="34" customHeight="1">
      <x:c r="A7" s="10" t="str">
        <x:v>AR002</x:v>
      </x:c>
      <x:c r="B7" s="10" t="str">
        <x:v>E002</x:v>
      </x:c>
      <x:c r="C7" s="10" t="str">
        <x:v>SourceHub</x:v>
      </x:c>
      <x:c r="D7" s="10" t="str">
        <x:v>None</x:v>
      </x:c>
      <x:c r="E7" s="10" t="str">
        <x:v>Retain</x:v>
      </x:c>
      <x:c r="F7" s="10" t="str">
        <x:v>Active employee; observed role matches current manager approval.</x:v>
      </x:c>
      <x:c r="G7" s="10" t="str"/>
      <x:c r="H7" s="14" t="n">
        <x:v>46266</x:v>
      </x:c>
      <x:c r="I7" s="10" t="str">
        <x:v>Confirmed in revised synthetic snapshot</x:v>
      </x:c>
      <x:c r="J7" s="14" t="n">
        <x:v>46268</x:v>
      </x:c>
    </x:row>
    <x:row r="8" ht="34" customHeight="1">
      <x:c r="A8" s="10" t="str">
        <x:v>AR003</x:v>
      </x:c>
      <x:c r="B8" s="10" t="str">
        <x:v>E003</x:v>
      </x:c>
      <x:c r="C8" s="10" t="str">
        <x:v>SourceHub</x:v>
      </x:c>
      <x:c r="D8" s="10" t="str">
        <x:v>None</x:v>
      </x:c>
      <x:c r="E8" s="10" t="str">
        <x:v>Retain</x:v>
      </x:c>
      <x:c r="F8" s="10" t="str">
        <x:v>Active employee; observed role matches current manager approval.</x:v>
      </x:c>
      <x:c r="G8" s="10" t="str"/>
      <x:c r="H8" s="14" t="n">
        <x:v>46266</x:v>
      </x:c>
      <x:c r="I8" s="10" t="str">
        <x:v>Confirmed in revised synthetic snapshot</x:v>
      </x:c>
      <x:c r="J8" s="14" t="n">
        <x:v>46268</x:v>
      </x:c>
    </x:row>
    <x:row r="9" ht="34" customHeight="1">
      <x:c r="A9" s="10" t="str">
        <x:v>AR004</x:v>
      </x:c>
      <x:c r="B9" s="10" t="str">
        <x:v>E004</x:v>
      </x:c>
      <x:c r="C9" s="10" t="str">
        <x:v>SourceHub</x:v>
      </x:c>
      <x:c r="D9" s="10" t="str">
        <x:v>Unjustified administrator</x:v>
      </x:c>
      <x:c r="E9" s="10" t="str">
        <x:v>Downgrade</x:v>
      </x:c>
      <x:c r="F9" s="10" t="str">
        <x:v>Only Developer was approved; Administrator has no justification.</x:v>
      </x:c>
      <x:c r="G9" s="10" t="str">
        <x:v>CA02</x:v>
      </x:c>
      <x:c r="H9" s="14" t="n">
        <x:v>46266</x:v>
      </x:c>
      <x:c r="I9" s="10" t="str">
        <x:v>Confirmed in revised synthetic snapshot</x:v>
      </x:c>
      <x:c r="J9" s="14" t="n">
        <x:v>46268</x:v>
      </x:c>
    </x:row>
    <x:row r="10" ht="34" customHeight="1">
      <x:c r="A10" s="10" t="str">
        <x:v>AR005</x:v>
      </x:c>
      <x:c r="B10" s="10" t="str">
        <x:v>E005</x:v>
      </x:c>
      <x:c r="C10" s="10" t="str">
        <x:v>SourceHub</x:v>
      </x:c>
      <x:c r="D10" s="10" t="str">
        <x:v>None</x:v>
      </x:c>
      <x:c r="E10" s="10" t="str">
        <x:v>Retain</x:v>
      </x:c>
      <x:c r="F10" s="10" t="str">
        <x:v>Active employee; observed role matches current manager approval.</x:v>
      </x:c>
      <x:c r="G10" s="10" t="str"/>
      <x:c r="H10" s="14" t="n">
        <x:v>46266</x:v>
      </x:c>
      <x:c r="I10" s="10" t="str">
        <x:v>Confirmed in revised synthetic snapshot</x:v>
      </x:c>
      <x:c r="J10" s="14" t="n">
        <x:v>46268</x:v>
      </x:c>
    </x:row>
    <x:row r="11" ht="34" customHeight="1">
      <x:c r="A11" s="10" t="str">
        <x:v>AR006</x:v>
      </x:c>
      <x:c r="B11" s="10" t="str">
        <x:v>E006</x:v>
      </x:c>
      <x:c r="C11" s="10" t="str">
        <x:v>SourceHub</x:v>
      </x:c>
      <x:c r="D11" s="10" t="str">
        <x:v>None</x:v>
      </x:c>
      <x:c r="E11" s="10" t="str">
        <x:v>Retain</x:v>
      </x:c>
      <x:c r="F11" s="10" t="str">
        <x:v>Active employee; observed role matches current manager approval.</x:v>
      </x:c>
      <x:c r="G11" s="10" t="str"/>
      <x:c r="H11" s="14" t="n">
        <x:v>46266</x:v>
      </x:c>
      <x:c r="I11" s="10" t="str">
        <x:v>Confirmed in revised synthetic snapshot</x:v>
      </x:c>
      <x:c r="J11" s="14" t="n">
        <x:v>46268</x:v>
      </x:c>
    </x:row>
    <x:row r="12" ht="34" customHeight="1">
      <x:c r="A12" s="10" t="str">
        <x:v>AR007</x:v>
      </x:c>
      <x:c r="B12" s="10" t="str">
        <x:v>E007</x:v>
      </x:c>
      <x:c r="C12" s="10" t="str">
        <x:v>SourceHub</x:v>
      </x:c>
      <x:c r="D12" s="10" t="str">
        <x:v>None</x:v>
      </x:c>
      <x:c r="E12" s="10" t="str">
        <x:v>Retain</x:v>
      </x:c>
      <x:c r="F12" s="10" t="str">
        <x:v>Active employee; observed role matches current manager approval.</x:v>
      </x:c>
      <x:c r="G12" s="10" t="str"/>
      <x:c r="H12" s="14" t="n">
        <x:v>46266</x:v>
      </x:c>
      <x:c r="I12" s="10" t="str">
        <x:v>Confirmed in revised synthetic snapshot</x:v>
      </x:c>
      <x:c r="J12" s="14" t="n">
        <x:v>46268</x:v>
      </x:c>
    </x:row>
    <x:row r="13" ht="34" customHeight="1">
      <x:c r="A13" s="10" t="str">
        <x:v>AR008</x:v>
      </x:c>
      <x:c r="B13" s="10" t="str">
        <x:v>E008</x:v>
      </x:c>
      <x:c r="C13" s="10" t="str">
        <x:v>SourceHub</x:v>
      </x:c>
      <x:c r="D13" s="10" t="str">
        <x:v>None</x:v>
      </x:c>
      <x:c r="E13" s="10" t="str">
        <x:v>Retain</x:v>
      </x:c>
      <x:c r="F13" s="10" t="str">
        <x:v>Active employee; observed role matches current manager approval.</x:v>
      </x:c>
      <x:c r="G13" s="10" t="str"/>
      <x:c r="H13" s="14" t="n">
        <x:v>46266</x:v>
      </x:c>
      <x:c r="I13" s="10" t="str">
        <x:v>Confirmed in revised synthetic snapshot</x:v>
      </x:c>
      <x:c r="J13" s="14" t="n">
        <x:v>46268</x:v>
      </x:c>
    </x:row>
    <x:row r="14" ht="34" customHeight="1">
      <x:c r="A14" s="10" t="str">
        <x:v>AR009</x:v>
      </x:c>
      <x:c r="B14" s="10" t="str">
        <x:v>E009</x:v>
      </x:c>
      <x:c r="C14" s="10" t="str">
        <x:v>SourceHub</x:v>
      </x:c>
      <x:c r="D14" s="10" t="str">
        <x:v>None</x:v>
      </x:c>
      <x:c r="E14" s="10" t="str">
        <x:v>Retain</x:v>
      </x:c>
      <x:c r="F14" s="10" t="str">
        <x:v>Active employee; observed role matches current manager approval.</x:v>
      </x:c>
      <x:c r="G14" s="10" t="str"/>
      <x:c r="H14" s="14" t="n">
        <x:v>46266</x:v>
      </x:c>
      <x:c r="I14" s="10" t="str">
        <x:v>Confirmed in revised synthetic snapshot</x:v>
      </x:c>
      <x:c r="J14" s="14" t="n">
        <x:v>46268</x:v>
      </x:c>
    </x:row>
    <x:row r="15" ht="34" customHeight="1">
      <x:c r="A15" s="10" t="str">
        <x:v>AR010</x:v>
      </x:c>
      <x:c r="B15" s="10" t="str">
        <x:v>E010</x:v>
      </x:c>
      <x:c r="C15" s="10" t="str">
        <x:v>SourceHub</x:v>
      </x:c>
      <x:c r="D15" s="10" t="str">
        <x:v>None</x:v>
      </x:c>
      <x:c r="E15" s="10" t="str">
        <x:v>Retain</x:v>
      </x:c>
      <x:c r="F15" s="10" t="str">
        <x:v>Active employee; observed role matches current manager approval.</x:v>
      </x:c>
      <x:c r="G15" s="10" t="str"/>
      <x:c r="H15" s="14" t="n">
        <x:v>46266</x:v>
      </x:c>
      <x:c r="I15" s="10" t="str">
        <x:v>Confirmed in revised synthetic snapshot</x:v>
      </x:c>
      <x:c r="J15" s="14" t="n">
        <x:v>46268</x:v>
      </x:c>
    </x:row>
    <x:row r="16" ht="40" customHeight="1">
      <x:c r="A16" s="10" t="str">
        <x:v>AR011</x:v>
      </x:c>
      <x:c r="B16" s="10" t="str">
        <x:v>E011</x:v>
      </x:c>
      <x:c r="C16" s="10" t="str">
        <x:v>CloudConsole</x:v>
      </x:c>
      <x:c r="D16" s="10" t="str">
        <x:v>None</x:v>
      </x:c>
      <x:c r="E16" s="10" t="str">
        <x:v>Retain</x:v>
      </x:c>
      <x:c r="F16" s="10" t="str">
        <x:v>Active employee; observed role matches valid independent approval.</x:v>
      </x:c>
      <x:c r="G16" s="10" t="str"/>
      <x:c r="H16" s="14" t="n">
        <x:v>46266</x:v>
      </x:c>
      <x:c r="I16" s="10" t="str">
        <x:v>Confirmed in revised synthetic snapshot</x:v>
      </x:c>
      <x:c r="J16" s="14" t="n">
        <x:v>46268</x:v>
      </x:c>
    </x:row>
    <x:row r="17" ht="34" customHeight="1">
      <x:c r="A17" s="10" t="str">
        <x:v>AR012</x:v>
      </x:c>
      <x:c r="B17" s="10" t="str">
        <x:v>E012</x:v>
      </x:c>
      <x:c r="C17" s="10" t="str">
        <x:v>CloudConsole</x:v>
      </x:c>
      <x:c r="D17" s="10" t="str">
        <x:v>None</x:v>
      </x:c>
      <x:c r="E17" s="10" t="str">
        <x:v>Retain</x:v>
      </x:c>
      <x:c r="F17" s="10" t="str">
        <x:v>Active employee; observed role matches current manager approval.</x:v>
      </x:c>
      <x:c r="G17" s="10" t="str"/>
      <x:c r="H17" s="14" t="n">
        <x:v>46266</x:v>
      </x:c>
      <x:c r="I17" s="10" t="str">
        <x:v>Confirmed in revised synthetic snapshot</x:v>
      </x:c>
      <x:c r="J17" s="14" t="n">
        <x:v>46268</x:v>
      </x:c>
    </x:row>
    <x:row r="18" ht="34" customHeight="1">
      <x:c r="A18" s="10" t="str">
        <x:v>AR013</x:v>
      </x:c>
      <x:c r="B18" s="10" t="str">
        <x:v>E013</x:v>
      </x:c>
      <x:c r="C18" s="10" t="str">
        <x:v>CloudConsole</x:v>
      </x:c>
      <x:c r="D18" s="10" t="str">
        <x:v>None</x:v>
      </x:c>
      <x:c r="E18" s="10" t="str">
        <x:v>Retain</x:v>
      </x:c>
      <x:c r="F18" s="10" t="str">
        <x:v>Active employee; observed role matches current manager approval.</x:v>
      </x:c>
      <x:c r="G18" s="10" t="str"/>
      <x:c r="H18" s="14" t="n">
        <x:v>46266</x:v>
      </x:c>
      <x:c r="I18" s="10" t="str">
        <x:v>Confirmed in revised synthetic snapshot</x:v>
      </x:c>
      <x:c r="J18" s="14" t="n">
        <x:v>46268</x:v>
      </x:c>
    </x:row>
    <x:row r="19" ht="40" customHeight="1">
      <x:c r="A19" s="10" t="str">
        <x:v>AR014</x:v>
      </x:c>
      <x:c r="B19" s="10" t="str">
        <x:v>E011</x:v>
      </x:c>
      <x:c r="C19" s="10" t="str">
        <x:v>SourceHub</x:v>
      </x:c>
      <x:c r="D19" s="10" t="str">
        <x:v>None</x:v>
      </x:c>
      <x:c r="E19" s="10" t="str">
        <x:v>Retain</x:v>
      </x:c>
      <x:c r="F19" s="10" t="str">
        <x:v>Active employee; observed role matches valid independent approval.</x:v>
      </x:c>
      <x:c r="G19" s="10" t="str"/>
      <x:c r="H19" s="14" t="n">
        <x:v>46266</x:v>
      </x:c>
      <x:c r="I19" s="10" t="str">
        <x:v>Confirmed in revised synthetic snapshot</x:v>
      </x:c>
      <x:c r="J19" s="14" t="n">
        <x:v>46268</x:v>
      </x:c>
    </x:row>
    <x:row r="20" ht="34" customHeight="1">
      <x:c r="A20" s="10" t="str">
        <x:v>AR015</x:v>
      </x:c>
      <x:c r="B20" s="10" t="str">
        <x:v>E012</x:v>
      </x:c>
      <x:c r="C20" s="10" t="str">
        <x:v>SourceHub</x:v>
      </x:c>
      <x:c r="D20" s="10" t="str">
        <x:v>None</x:v>
      </x:c>
      <x:c r="E20" s="10" t="str">
        <x:v>Retain</x:v>
      </x:c>
      <x:c r="F20" s="10" t="str">
        <x:v>Active employee; observed role matches current manager approval.</x:v>
      </x:c>
      <x:c r="G20" s="10" t="str"/>
      <x:c r="H20" s="14" t="n">
        <x:v>46266</x:v>
      </x:c>
      <x:c r="I20" s="10" t="str">
        <x:v>Confirmed in revised synthetic snapshot</x:v>
      </x:c>
      <x:c r="J20" s="14" t="n">
        <x:v>46268</x:v>
      </x:c>
    </x:row>
    <x:row r="21" ht="34" customHeight="1">
      <x:c r="A21" s="10" t="str">
        <x:v>AR016</x:v>
      </x:c>
      <x:c r="B21" s="10" t="str">
        <x:v>E013</x:v>
      </x:c>
      <x:c r="C21" s="10" t="str">
        <x:v>SourceHub</x:v>
      </x:c>
      <x:c r="D21" s="10" t="str">
        <x:v>None</x:v>
      </x:c>
      <x:c r="E21" s="10" t="str">
        <x:v>Retain</x:v>
      </x:c>
      <x:c r="F21" s="10" t="str">
        <x:v>Active employee; observed role matches current manager approval.</x:v>
      </x:c>
      <x:c r="G21" s="10" t="str"/>
      <x:c r="H21" s="14" t="n">
        <x:v>46266</x:v>
      </x:c>
      <x:c r="I21" s="10" t="str">
        <x:v>Confirmed in revised synthetic snapshot</x:v>
      </x:c>
      <x:c r="J21" s="14" t="n">
        <x:v>46268</x:v>
      </x:c>
    </x:row>
    <x:row r="22" ht="34" customHeight="1">
      <x:c r="A22" s="10" t="str">
        <x:v>AR017</x:v>
      </x:c>
      <x:c r="B22" s="10" t="str">
        <x:v>E014</x:v>
      </x:c>
      <x:c r="C22" s="10" t="str">
        <x:v>SupportDesk</x:v>
      </x:c>
      <x:c r="D22" s="10" t="str">
        <x:v>None</x:v>
      </x:c>
      <x:c r="E22" s="10" t="str">
        <x:v>Retain</x:v>
      </x:c>
      <x:c r="F22" s="10" t="str">
        <x:v>Active employee; observed role matches current manager approval.</x:v>
      </x:c>
      <x:c r="G22" s="10" t="str"/>
      <x:c r="H22" s="14" t="n">
        <x:v>46266</x:v>
      </x:c>
      <x:c r="I22" s="10" t="str">
        <x:v>Confirmed in revised synthetic snapshot</x:v>
      </x:c>
      <x:c r="J22" s="14" t="n">
        <x:v>46268</x:v>
      </x:c>
    </x:row>
    <x:row r="23" ht="34" customHeight="1">
      <x:c r="A23" s="10" t="str">
        <x:v>AR018</x:v>
      </x:c>
      <x:c r="B23" s="10" t="str">
        <x:v>E015</x:v>
      </x:c>
      <x:c r="C23" s="10" t="str">
        <x:v>SupportDesk</x:v>
      </x:c>
      <x:c r="D23" s="10" t="str">
        <x:v>None</x:v>
      </x:c>
      <x:c r="E23" s="10" t="str">
        <x:v>Retain</x:v>
      </x:c>
      <x:c r="F23" s="10" t="str">
        <x:v>Active employee; observed role matches current manager approval.</x:v>
      </x:c>
      <x:c r="G23" s="10" t="str"/>
      <x:c r="H23" s="14" t="n">
        <x:v>46266</x:v>
      </x:c>
      <x:c r="I23" s="10" t="str">
        <x:v>Confirmed in revised synthetic snapshot</x:v>
      </x:c>
      <x:c r="J23" s="14" t="n">
        <x:v>46268</x:v>
      </x:c>
    </x:row>
    <x:row r="24" ht="34" customHeight="1">
      <x:c r="A24" s="10" t="str">
        <x:v>AR019</x:v>
      </x:c>
      <x:c r="B24" s="10" t="str">
        <x:v>E016</x:v>
      </x:c>
      <x:c r="C24" s="10" t="str">
        <x:v>SupportDesk</x:v>
      </x:c>
      <x:c r="D24" s="10" t="str">
        <x:v>None</x:v>
      </x:c>
      <x:c r="E24" s="10" t="str">
        <x:v>Retain</x:v>
      </x:c>
      <x:c r="F24" s="10" t="str">
        <x:v>Active employee; observed role matches current manager approval.</x:v>
      </x:c>
      <x:c r="G24" s="10" t="str"/>
      <x:c r="H24" s="14" t="n">
        <x:v>46266</x:v>
      </x:c>
      <x:c r="I24" s="10" t="str">
        <x:v>Confirmed in revised synthetic snapshot</x:v>
      </x:c>
      <x:c r="J24" s="14" t="n">
        <x:v>46268</x:v>
      </x:c>
    </x:row>
    <x:row r="25" ht="34" customHeight="1">
      <x:c r="A25" s="10" t="str">
        <x:v>AR020</x:v>
      </x:c>
      <x:c r="B25" s="10" t="str">
        <x:v>E017</x:v>
      </x:c>
      <x:c r="C25" s="10" t="str">
        <x:v>SupportDesk</x:v>
      </x:c>
      <x:c r="D25" s="10" t="str">
        <x:v>None</x:v>
      </x:c>
      <x:c r="E25" s="10" t="str">
        <x:v>Retain</x:v>
      </x:c>
      <x:c r="F25" s="10" t="str">
        <x:v>Active employee; observed role matches current manager approval.</x:v>
      </x:c>
      <x:c r="G25" s="10" t="str"/>
      <x:c r="H25" s="14" t="n">
        <x:v>46266</x:v>
      </x:c>
      <x:c r="I25" s="10" t="str">
        <x:v>Confirmed in revised synthetic snapshot</x:v>
      </x:c>
      <x:c r="J25" s="14" t="n">
        <x:v>46268</x:v>
      </x:c>
    </x:row>
    <x:row r="26" ht="34" customHeight="1">
      <x:c r="A26" s="10" t="str">
        <x:v>AR021</x:v>
      </x:c>
      <x:c r="B26" s="10" t="str">
        <x:v>E018</x:v>
      </x:c>
      <x:c r="C26" s="10" t="str">
        <x:v>SupportDesk</x:v>
      </x:c>
      <x:c r="D26" s="10" t="str">
        <x:v>None</x:v>
      </x:c>
      <x:c r="E26" s="10" t="str">
        <x:v>Retain</x:v>
      </x:c>
      <x:c r="F26" s="10" t="str">
        <x:v>Active employee; observed role matches current manager approval.</x:v>
      </x:c>
      <x:c r="G26" s="10" t="str"/>
      <x:c r="H26" s="14" t="n">
        <x:v>46266</x:v>
      </x:c>
      <x:c r="I26" s="10" t="str">
        <x:v>Confirmed in revised synthetic snapshot</x:v>
      </x:c>
      <x:c r="J26" s="14" t="n">
        <x:v>46268</x:v>
      </x:c>
    </x:row>
    <x:row r="27" ht="34" customHeight="1">
      <x:c r="A27" s="10" t="str">
        <x:v>AR022</x:v>
      </x:c>
      <x:c r="B27" s="10" t="str">
        <x:v>E019</x:v>
      </x:c>
      <x:c r="C27" s="10" t="str">
        <x:v>SupportDesk</x:v>
      </x:c>
      <x:c r="D27" s="10" t="str">
        <x:v>None</x:v>
      </x:c>
      <x:c r="E27" s="10" t="str">
        <x:v>Retain</x:v>
      </x:c>
      <x:c r="F27" s="10" t="str">
        <x:v>Active employee; observed role matches current manager approval.</x:v>
      </x:c>
      <x:c r="G27" s="10" t="str"/>
      <x:c r="H27" s="14" t="n">
        <x:v>46266</x:v>
      </x:c>
      <x:c r="I27" s="10" t="str">
        <x:v>Confirmed in revised synthetic snapshot</x:v>
      </x:c>
      <x:c r="J27" s="14" t="n">
        <x:v>46268</x:v>
      </x:c>
    </x:row>
    <x:row r="28" ht="34" customHeight="1">
      <x:c r="A28" s="10" t="str">
        <x:v>AR023</x:v>
      </x:c>
      <x:c r="B28" s="10" t="str">
        <x:v>E020</x:v>
      </x:c>
      <x:c r="C28" s="10" t="str">
        <x:v>SupportDesk</x:v>
      </x:c>
      <x:c r="D28" s="10" t="str">
        <x:v>None</x:v>
      </x:c>
      <x:c r="E28" s="10" t="str">
        <x:v>Retain</x:v>
      </x:c>
      <x:c r="F28" s="10" t="str">
        <x:v>Active employee; observed role matches current manager approval.</x:v>
      </x:c>
      <x:c r="G28" s="10" t="str"/>
      <x:c r="H28" s="14" t="n">
        <x:v>46266</x:v>
      </x:c>
      <x:c r="I28" s="10" t="str">
        <x:v>Confirmed in revised synthetic snapshot</x:v>
      </x:c>
      <x:c r="J28" s="14" t="n">
        <x:v>46268</x:v>
      </x:c>
    </x:row>
    <x:row r="29" ht="34" customHeight="1">
      <x:c r="A29" s="10" t="str">
        <x:v>AR024</x:v>
      </x:c>
      <x:c r="B29" s="10" t="str">
        <x:v>E021</x:v>
      </x:c>
      <x:c r="C29" s="10" t="str">
        <x:v>SupportDesk</x:v>
      </x:c>
      <x:c r="D29" s="10" t="str">
        <x:v>Role mismatch</x:v>
      </x:c>
      <x:c r="E29" s="10" t="str">
        <x:v>Downgrade</x:v>
      </x:c>
      <x:c r="F29" s="10" t="str">
        <x:v>Sales role approval permits Viewer, not Agent.</x:v>
      </x:c>
      <x:c r="G29" s="10" t="str">
        <x:v>CA03</x:v>
      </x:c>
      <x:c r="H29" s="14" t="n">
        <x:v>46266</x:v>
      </x:c>
      <x:c r="I29" s="10" t="str">
        <x:v>Confirmed in revised synthetic snapshot</x:v>
      </x:c>
      <x:c r="J29" s="14" t="n">
        <x:v>46268</x:v>
      </x:c>
    </x:row>
    <x:row r="30" ht="34" customHeight="1">
      <x:c r="A30" s="10" t="str">
        <x:v>AR025</x:v>
      </x:c>
      <x:c r="B30" s="10" t="str">
        <x:v>E022</x:v>
      </x:c>
      <x:c r="C30" s="10" t="str">
        <x:v>SupportDesk</x:v>
      </x:c>
      <x:c r="D30" s="10" t="str">
        <x:v>None</x:v>
      </x:c>
      <x:c r="E30" s="10" t="str">
        <x:v>Retain</x:v>
      </x:c>
      <x:c r="F30" s="10" t="str">
        <x:v>Active employee; observed role matches current manager approval.</x:v>
      </x:c>
      <x:c r="G30" s="10" t="str"/>
      <x:c r="H30" s="14" t="n">
        <x:v>46266</x:v>
      </x:c>
      <x:c r="I30" s="10" t="str">
        <x:v>Confirmed in revised synthetic snapshot</x:v>
      </x:c>
      <x:c r="J30" s="14" t="n">
        <x:v>46268</x:v>
      </x:c>
    </x:row>
    <x:row r="31" ht="34" customHeight="1">
      <x:c r="A31" s="10" t="str">
        <x:v>AR026</x:v>
      </x:c>
      <x:c r="B31" s="10" t="str">
        <x:v>E025</x:v>
      </x:c>
      <x:c r="C31" s="10" t="str">
        <x:v>SupportDesk</x:v>
      </x:c>
      <x:c r="D31" s="10" t="str">
        <x:v>None</x:v>
      </x:c>
      <x:c r="E31" s="10" t="str">
        <x:v>Retain</x:v>
      </x:c>
      <x:c r="F31" s="10" t="str">
        <x:v>Active employee; observed role matches current manager approval.</x:v>
      </x:c>
      <x:c r="G31" s="10" t="str"/>
      <x:c r="H31" s="14" t="n">
        <x:v>46266</x:v>
      </x:c>
      <x:c r="I31" s="10" t="str">
        <x:v>Confirmed in revised synthetic snapshot</x:v>
      </x:c>
      <x:c r="J31" s="14" t="n">
        <x:v>46268</x:v>
      </x:c>
    </x:row>
    <x:row r="32" ht="34" customHeight="1">
      <x:c r="A32" s="10" t="str">
        <x:v>AR027</x:v>
      </x:c>
      <x:c r="B32" s="10" t="str">
        <x:v>E026</x:v>
      </x:c>
      <x:c r="C32" s="10" t="str">
        <x:v>SupportDesk</x:v>
      </x:c>
      <x:c r="D32" s="10" t="str">
        <x:v>Departed user active</x:v>
      </x:c>
      <x:c r="E32" s="10" t="str">
        <x:v>Disable</x:v>
      </x:c>
      <x:c r="F32" s="10" t="str">
        <x:v>Employment ended and approval expired on 31 August.</x:v>
      </x:c>
      <x:c r="G32" s="10" t="str">
        <x:v>CA01</x:v>
      </x:c>
      <x:c r="H32" s="14" t="n">
        <x:v>46266</x:v>
      </x:c>
      <x:c r="I32" s="10" t="str">
        <x:v>Confirmed in revised synthetic snapshot</x:v>
      </x:c>
      <x:c r="J32" s="14" t="n">
        <x:v>46268</x:v>
      </x:c>
    </x:row>
  </x:sheetData>
  <x:pageMargins left="0.7" right="0.7" top="0.75" bottom="0.75" header="0.3" footer="0.3"/>
  <x:tableParts count="1">
    <x:tablePart xmlns:r="http://schemas.openxmlformats.org/officeDocument/2006/relationships" r:id="R74517421c7da42eb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1" hidden="0" customWidth="1"/>
    <x:col min="2" max="2" width="12" hidden="0" customWidth="1"/>
    <x:col min="3" max="3" width="10" hidden="0" customWidth="1"/>
    <x:col min="4" max="4" width="28" hidden="0" customWidth="1"/>
    <x:col min="5" max="5" width="48" hidden="0" customWidth="1"/>
    <x:col min="6" max="6" width="45" hidden="0" customWidth="1"/>
    <x:col min="7" max="7" width="48" hidden="0" customWidth="1"/>
    <x:col min="8" max="8" width="28" hidden="0" customWidth="1"/>
    <x:col min="9" max="9" width="15" hidden="0" customWidth="1"/>
    <x:col min="10" max="10" width="15" hidden="0" customWidth="1"/>
    <x:col min="11" max="11" width="15" hidden="0" customWidth="1"/>
    <x:col min="12" max="12" width="36" hidden="0" customWidth="1"/>
    <x:col min="13" max="13" width="4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s="3" t="str">
        <x:v>Corrections and systemic actions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4" t="str">
        <x:v>Three sample corrections verified. Systemic actions remain planned; effectiveness is untested.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4" customHeight="1">
      <x:c r="A5" s="8" t="str">
        <x:v>Action</x:v>
      </x:c>
      <x:c r="B5" s="8" t="str">
        <x:v>Access ID</x:v>
      </x:c>
      <x:c r="C5" s="8" t="str">
        <x:v>Risk</x:v>
      </x:c>
      <x:c r="D5" s="8" t="str">
        <x:v>Finding</x:v>
      </x:c>
      <x:c r="E5" s="8" t="str">
        <x:v>Immediate correction</x:v>
      </x:c>
      <x:c r="F5" s="8" t="str">
        <x:v>Cause hypothesis</x:v>
      </x:c>
      <x:c r="G5" s="8" t="str">
        <x:v>Systemic action</x:v>
      </x:c>
      <x:c r="H5" s="8" t="str">
        <x:v>Owner</x:v>
      </x:c>
      <x:c r="I5" s="8" t="str">
        <x:v>Due date</x:v>
      </x:c>
      <x:c r="J5" s="8" t="str">
        <x:v>Correction date</x:v>
      </x:c>
      <x:c r="K5" s="8" t="str">
        <x:v>Verified date</x:v>
      </x:c>
      <x:c r="L5" s="8" t="str">
        <x:v>Correction status</x:v>
      </x:c>
      <x:c r="M5" s="8" t="str">
        <x:v>Systemic action status</x:v>
      </x:c>
    </x:row>
    <x:row r="6" ht="34" customHeight="1">
      <x:c r="A6" s="10" t="str">
        <x:v>CA01</x:v>
      </x:c>
      <x:c r="B6" s="10" t="str">
        <x:v>AR027</x:v>
      </x:c>
      <x:c r="C6" s="10" t="str">
        <x:v>R01</x:v>
      </x:c>
      <x:c r="D6" s="10" t="str">
        <x:v>Departed user active</x:v>
      </x:c>
      <x:c r="E6" s="10" t="str">
        <x:v>Disable the departed account.</x:v>
      </x:c>
      <x:c r="F6" s="10" t="str">
        <x:v>Manual offboarding was not reconciled.</x:v>
      </x:c>
      <x:c r="G6" s="10" t="str">
        <x:v>Reconcile leavers with system exports.</x:v>
      </x:c>
      <x:c r="H6" s="10" t="str">
        <x:v>Head of Support</x:v>
      </x:c>
      <x:c r="I6" s="14" t="n">
        <x:v>46267</x:v>
      </x:c>
      <x:c r="J6" s="14" t="n">
        <x:v>46267</x:v>
      </x:c>
      <x:c r="K6" s="14" t="n">
        <x:v>46268</x:v>
      </x:c>
      <x:c r="L6" s="10" t="str">
        <x:v>Verified in synthetic snapshot</x:v>
      </x:c>
      <x:c r="M6" s="10" t="str">
        <x:v>Planned; effectiveness not tested</x:v>
      </x:c>
    </x:row>
    <x:row r="7" ht="40" customHeight="1">
      <x:c r="A7" s="10" t="str">
        <x:v>CA02</x:v>
      </x:c>
      <x:c r="B7" s="10" t="str">
        <x:v>AR004</x:v>
      </x:c>
      <x:c r="C7" s="10" t="str">
        <x:v>R02</x:v>
      </x:c>
      <x:c r="D7" s="10" t="str">
        <x:v>Unjustified administrator</x:v>
      </x:c>
      <x:c r="E7" s="10" t="str">
        <x:v>Change role from Administrator to Developer.</x:v>
      </x:c>
      <x:c r="F7" s="10" t="str">
        <x:v>Role assignment bypassed approval.</x:v>
      </x:c>
      <x:c r="G7" s="10" t="str">
        <x:v>Require approval before privileged assignment.</x:v>
      </x:c>
      <x:c r="H7" s="10" t="str">
        <x:v>Head of Engineering</x:v>
      </x:c>
      <x:c r="I7" s="14" t="n">
        <x:v>46267</x:v>
      </x:c>
      <x:c r="J7" s="14" t="n">
        <x:v>46267</x:v>
      </x:c>
      <x:c r="K7" s="14" t="n">
        <x:v>46268</x:v>
      </x:c>
      <x:c r="L7" s="10" t="str">
        <x:v>Verified in synthetic snapshot</x:v>
      </x:c>
      <x:c r="M7" s="10" t="str">
        <x:v>Planned; effectiveness not tested</x:v>
      </x:c>
    </x:row>
    <x:row r="8" ht="40" customHeight="1">
      <x:c r="A8" s="10" t="str">
        <x:v>CA03</x:v>
      </x:c>
      <x:c r="B8" s="10" t="str">
        <x:v>AR024</x:v>
      </x:c>
      <x:c r="C8" s="10" t="str">
        <x:v>R03</x:v>
      </x:c>
      <x:c r="D8" s="10" t="str">
        <x:v>Role mismatch</x:v>
      </x:c>
      <x:c r="E8" s="10" t="str">
        <x:v>Change role from Agent to Viewer.</x:v>
      </x:c>
      <x:c r="F8" s="10" t="str">
        <x:v>Role-change permissions were not reconciled.</x:v>
      </x:c>
      <x:c r="G8" s="10" t="str">
        <x:v>Trigger access review on role changes.</x:v>
      </x:c>
      <x:c r="H8" s="10" t="str">
        <x:v>Head of Support</x:v>
      </x:c>
      <x:c r="I8" s="14" t="n">
        <x:v>46267</x:v>
      </x:c>
      <x:c r="J8" s="14" t="n">
        <x:v>46267</x:v>
      </x:c>
      <x:c r="K8" s="14" t="n">
        <x:v>46268</x:v>
      </x:c>
      <x:c r="L8" s="10" t="str">
        <x:v>Verified in synthetic snapshot</x:v>
      </x:c>
      <x:c r="M8" s="10" t="str">
        <x:v>Planned; effectiveness not tested</x:v>
      </x:c>
    </x:row>
  </x:sheetData>
  <x:pageMargins left="0.7" right="0.7" top="0.75" bottom="0.75" header="0.3" footer="0.3"/>
  <x:tableParts count="1">
    <x:tablePart xmlns:r="http://schemas.openxmlformats.org/officeDocument/2006/relationships" r:id="Rd2ac31de24654755"/>
  </x:tableParts>
</x:worksheet>
</file>